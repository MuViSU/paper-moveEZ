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y Section" sheetId="1" state="visible" r:id="rId3"/>
    <sheet name="All Comments" sheetId="2" state="visible" r:id="rId4"/>
    <sheet name="Package Changes" sheetId="3" state="visible" r:id="rId5"/>
    <sheet name="Shared Themes" sheetId="4" state="visible" r:id="rId6"/>
  </sheets>
  <definedNames>
    <definedName function="false" hidden="true" localSheetId="1" name="_xlnm._FilterDatabase" vbProcedure="false">'All Comments'!$A$1:$P$46</definedName>
    <definedName function="false" hidden="true" localSheetId="2" name="_xlnm._FilterDatabase" vbProcedure="false">'Package Changes'!$A$4:$G$27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<sst xmlns="http://schemas.openxmlformats.org/spreadsheetml/2006/main" count="901" uniqueCount="404">
  <si>
    <t xml:space="preserve">moveEZ (ID 2026-64): reviewer comments organized by section of the submitted paper</t>
  </si>
  <si>
    <t xml:space="preserve">All counts are formulas that read the All Comments sheet.</t>
  </si>
  <si>
    <t xml:space="preserve">Paper section</t>
  </si>
  <si>
    <t xml:space="preserve">Reviewer 4</t>
  </si>
  <si>
    <t xml:space="preserve">Reviewer 5</t>
  </si>
  <si>
    <t xml:space="preserve">Total</t>
  </si>
  <si>
    <t xml:space="preserve">Major</t>
  </si>
  <si>
    <t xml:space="preserve">Package change</t>
  </si>
  <si>
    <t xml:space="preserve">Not done</t>
  </si>
  <si>
    <t xml:space="preserve">Whole paper</t>
  </si>
  <si>
    <t xml:space="preserve">1 Introduction</t>
  </si>
  <si>
    <t xml:space="preserve">2 PCA Biplots</t>
  </si>
  <si>
    <t xml:space="preserve">3 The moveEZ framework</t>
  </si>
  <si>
    <t xml:space="preserve">4 Fixed variable frame</t>
  </si>
  <si>
    <t xml:space="preserve">5 Dynamic frame</t>
  </si>
  <si>
    <t xml:space="preserve">6 Automated alignment</t>
  </si>
  <si>
    <t xml:space="preserve">7 Evaluation</t>
  </si>
  <si>
    <t xml:space="preserve">8 Conclusion</t>
  </si>
  <si>
    <t xml:space="preserve">10 References</t>
  </si>
  <si>
    <t xml:space="preserve">Package code</t>
  </si>
  <si>
    <t xml:space="preserve">By theme</t>
  </si>
  <si>
    <t xml:space="preserve">Theme</t>
  </si>
  <si>
    <t xml:space="preserve">Case study value</t>
  </si>
  <si>
    <t xml:space="preserve">Code correctness</t>
  </si>
  <si>
    <t xml:space="preserve">Code quality</t>
  </si>
  <si>
    <t xml:space="preserve">Contribution</t>
  </si>
  <si>
    <t xml:space="preserve">Documentation</t>
  </si>
  <si>
    <t xml:space="preserve">Evaluation measures</t>
  </si>
  <si>
    <t xml:space="preserve">Formatting</t>
  </si>
  <si>
    <t xml:space="preserve">GPA method</t>
  </si>
  <si>
    <t xml:space="preserve">Input checks</t>
  </si>
  <si>
    <t xml:space="preserve">Interpretation</t>
  </si>
  <si>
    <t xml:space="preserve">Motivation</t>
  </si>
  <si>
    <t xml:space="preserve">Naming and API</t>
  </si>
  <si>
    <t xml:space="preserve">Related work</t>
  </si>
  <si>
    <t xml:space="preserve">Typo</t>
  </si>
  <si>
    <t xml:space="preserve">Validation</t>
  </si>
  <si>
    <t xml:space="preserve">Visual design</t>
  </si>
  <si>
    <t xml:space="preserve">Wording</t>
  </si>
  <si>
    <t xml:space="preserve">Reviewer recommendations</t>
  </si>
  <si>
    <t xml:space="preserve">Reviewer</t>
  </si>
  <si>
    <t xml:space="preserve">Overall view</t>
  </si>
  <si>
    <t xml:space="preserve">Contribution not substantial enough for the R Journal (leans to reject).</t>
  </si>
  <si>
    <t xml:space="preserve">Idea is useful and the fixed frame is sound. Substantial revision required.</t>
  </si>
  <si>
    <t xml:space="preserve">Figure key: reviewer figure numbers in the submitted version</t>
  </si>
  <si>
    <t xml:space="preserve">Reviewer reference</t>
  </si>
  <si>
    <t xml:space="preserve">Figure in submitted version</t>
  </si>
  <si>
    <t xml:space="preserve">Content</t>
  </si>
  <si>
    <t xml:space="preserve">R4: Figure 7</t>
  </si>
  <si>
    <t xml:space="preserve">Figure 7 (fig:moveplot-plot2)</t>
  </si>
  <si>
    <t xml:space="preserve">moveplot2() facets, no alignment</t>
  </si>
  <si>
    <t xml:space="preserve">R4: Figure 8</t>
  </si>
  <si>
    <t xml:space="preserve">Figure 8 (fig:moveplot3-facet-plot)</t>
  </si>
  <si>
    <t xml:space="preserve">moveplot3() facets, consensus target</t>
  </si>
  <si>
    <t xml:space="preserve">R5: Figure 9</t>
  </si>
  <si>
    <t xml:space="preserve">Figure 9 (fig:fit-line-plot)</t>
  </si>
  <si>
    <t xml:space="preserve">PS and CC fit measures over time</t>
  </si>
  <si>
    <t xml:space="preserve">ID</t>
  </si>
  <si>
    <t xml:space="preserve">Reviewer item</t>
  </si>
  <si>
    <t xml:space="preserve">Location (submitted version)</t>
  </si>
  <si>
    <t xml:space="preserve">Priority</t>
  </si>
  <si>
    <t xml:space="preserve">Comment (summary)</t>
  </si>
  <si>
    <t xml:space="preserve">Reviewer text (verbatim)</t>
  </si>
  <si>
    <t xml:space="preserve">Requested action</t>
  </si>
  <si>
    <t xml:space="preserve">Also raised in</t>
  </si>
  <si>
    <t xml:space="preserve">Check against submitted version</t>
  </si>
  <si>
    <t xml:space="preserve">Package change needed</t>
  </si>
  <si>
    <t xml:space="preserve">Package file / function</t>
  </si>
  <si>
    <t xml:space="preserve">Author response</t>
  </si>
  <si>
    <t xml:space="preserve">Status</t>
  </si>
  <si>
    <t xml:space="preserve">R4-01</t>
  </si>
  <si>
    <t xml:space="preserve">General 1</t>
  </si>
  <si>
    <t xml:space="preserve">Figures 7 and 8 (moveplot2() facets and moveplot3() consensus facets)</t>
  </si>
  <si>
    <t xml:space="preserve">The examples show what the code does. They do not show why the output is useful. The reviewer could not find a clear finding in Figures 7 and 8.</t>
  </si>
  <si>
    <t xml:space="preserve">1. The data examples in the paper demonstrate the functionality of the code, but they do not strongly motivate the code. What should a reader take away from Figures 7 and 8, from a substantive point of view? The manuscript would be much stronger if it invested in explaining the value of these visualizations to the reader, rather than leaving the reader to interpret the figures on their own. I personally struggled to find substantive takeaways from the figures.</t>
  </si>
  <si>
    <t xml:space="preserve">State what the reader must learn from each figure. Give the substantive result.</t>
  </si>
  <si>
    <t xml:space="preserve">R5-15, R5-16</t>
  </si>
  <si>
    <t xml:space="preserve">Open. Figure 7 text only shows a reflection. Figure 8 text only says the biplots are consistently oriented. No substantive finding is given. The 1989 target demo (6.2) has no figure.</t>
  </si>
  <si>
    <t xml:space="preserve">No</t>
  </si>
  <si>
    <t xml:space="preserve">To do</t>
  </si>
  <si>
    <t xml:space="preserve">R4-02</t>
  </si>
  <si>
    <t xml:space="preserve">General 2</t>
  </si>
  <si>
    <t xml:space="preserve">6.1 Generalized Procrustes analysis</t>
  </si>
  <si>
    <t xml:space="preserve">There is no formal math for GPA. So it is hard to know what moveplot3() shows.</t>
  </si>
  <si>
    <t xml:space="preserve">2. The manuscript lacks a formal mathematical description of Generalized Procrustes Analysis, which is used to produce the figures from moveplot3(). This makes it difficult to understand what is actually being visualized.</t>
  </si>
  <si>
    <t xml:space="preserve">Add the GPA equations: the objective, the transformations, and the iteration.</t>
  </si>
  <si>
    <t xml:space="preserve">R5-09</t>
  </si>
  <si>
    <t xml:space="preserve">Open. Section 6.1 is one paragraph with no equations.</t>
  </si>
  <si>
    <t xml:space="preserve">R4-03</t>
  </si>
  <si>
    <t xml:space="preserve">General 3</t>
  </si>
  <si>
    <t xml:space="preserve">6.1 and target argument</t>
  </si>
  <si>
    <t xml:space="preserve">The paper does not say why a consensus GPA target is correct. The aligned result may not keep the PCA meaning of the axes. A tensor method may give a clear shared subspace. If the subspace does not matter, one Procrustes step to any target is enough.</t>
  </si>
  <si>
    <t xml:space="preserve">3. It is reasonable to want to align various principal component analyses. However, the manuscript takes as given that these various decompositions should be aligned relative to a consensus GPA alignment. Is there any particular reason for this? Does the consensus GPA alignment preserve the principal component analysis interpretation of the axes, or is this a new kind of object that must be interpreted differently (I suspect it is the latter)? Methodologically, it could make more sense to use a tensor decomposition method that embeds the various slices into a directly interpretable subspace. Alternatively, if the embedding subspace is immaterial, generalized Procrustes analysis is computationally unnecessary and a single alignment step to any target is sufficient for comparability.</t>
  </si>
  <si>
    <t xml:space="preserve">Justify the consensus target. Say if the aligned axes keep a PCA meaning. Discuss tensor methods and a single-step alignment.</t>
  </si>
  <si>
    <t xml:space="preserve">R5-04, R5-05, R5-06</t>
  </si>
  <si>
    <t xml:space="preserve">Open. Section 6.1 says the target is the average, but gives no reason.</t>
  </si>
  <si>
    <t xml:space="preserve">Maybe</t>
  </si>
  <si>
    <t xml:space="preserve">moveplot3(): option for single-step alignment to one target</t>
  </si>
  <si>
    <t xml:space="preserve">R4-04</t>
  </si>
  <si>
    <t xml:space="preserve">General 4</t>
  </si>
  <si>
    <t xml:space="preserve">evaluation(); Section 7.1 measures</t>
  </si>
  <si>
    <t xml:space="preserve">MB is always zero because abs() is missing. X.new is not used. AMB, MB and RMSB use the target and the unrotated, unscaled testee. PS uses the rotated one.</t>
  </si>
  <si>
    <t xml:space="preserve">4. In evaluation, MB is definitionally zero due to a missing abs(). Further, in evaluation() X.new isnever used. AMB, MB, and RMSB are all computed from target - testee, where testee is the un-rotated, un-scaled configuration. Is this intended? PS, by contrast, does use the rotated configuration.</t>
  </si>
  <si>
    <t xml:space="preserve">Fix MB. Decide which configuration each measure must use and make them consistent.</t>
  </si>
  <si>
    <t xml:space="preserve">R5-C02</t>
  </si>
  <si>
    <t xml:space="preserve">Open. Table 3 shows MB = 0.0000 for both years, and Section 7.4 says MB stays close to zero. Also: Section 7.3 says the target is 1989, but the code uses target = NULL.</t>
  </si>
  <si>
    <t xml:space="preserve">Yes</t>
  </si>
  <si>
    <t xml:space="preserve">evaluation() in evaluation_func.R</t>
  </si>
  <si>
    <t xml:space="preserve">R4-05</t>
  </si>
  <si>
    <t xml:space="preserve">Code 1</t>
  </si>
  <si>
    <t xml:space="preserve">moveplot(), moveplot2(), moveplot3()</t>
  </si>
  <si>
    <t xml:space="preserve">Minor</t>
  </si>
  <si>
    <t xml:space="preserve">The function names do not tell what each function does.</t>
  </si>
  <si>
    <t xml:space="preserve">1. The names moveplot(), moveplot2(), and moveplot3() are not informative about what the functions do.</t>
  </si>
  <si>
    <t xml:space="preserve">Give the functions descriptive names (aliases can keep old names).</t>
  </si>
  <si>
    <t xml:space="preserve">R5-19</t>
  </si>
  <si>
    <t xml:space="preserve">Open. Same names in Table 1 and in all sections.</t>
  </si>
  <si>
    <t xml:space="preserve">NAMESPACE; plot.R (function names, aliases)</t>
  </si>
  <si>
    <t xml:space="preserve">R4-06</t>
  </si>
  <si>
    <t xml:space="preserve">Code 2</t>
  </si>
  <si>
    <t xml:space="preserve">evaluation()</t>
  </si>
  <si>
    <t xml:space="preserve">evaluation() calls print() for a wrong input class. stop() is the usual choice.</t>
  </si>
  <si>
    <t xml:space="preserve">2. When given anything other than a moveplot3 object, evaluation() calls print(). stop() would be the conventional choice here.</t>
  </si>
  <si>
    <t xml:space="preserve">Use stop() with a clear message.</t>
  </si>
  <si>
    <t xml:space="preserve">Open. Paper link: the Conclusion says evaluation() works with all three functions, but the code accepts only moveplot3() objects.</t>
  </si>
  <si>
    <t xml:space="preserve">R4-07</t>
  </si>
  <si>
    <t xml:space="preserve">Code 3</t>
  </si>
  <si>
    <t xml:space="preserve">evaluation(): Tot.SS, Fit.SS, n.X, p.X, p.Y, X.new</t>
  </si>
  <si>
    <t xml:space="preserve">Some objects are calculated but not used.</t>
  </si>
  <si>
    <t xml:space="preserve">3. In evaluation(), Tot.SS, Fit.SS, n.X, p.X, and p.Y are computed but never used, and X.new is computed but never used. Is this intended?</t>
  </si>
  <si>
    <t xml:space="preserve">Remove them or use them.</t>
  </si>
  <si>
    <t xml:space="preserve">R5-C02, R5-C07</t>
  </si>
  <si>
    <t xml:space="preserve">Package only. Not visible in the paper.</t>
  </si>
  <si>
    <t xml:space="preserve">R4-08</t>
  </si>
  <si>
    <t xml:space="preserve">Typo 1</t>
  </si>
  <si>
    <t xml:space="preserve">Section 4.2, sentence after Figure 4</t>
  </si>
  <si>
    <t xml:space="preserve">Typo: "are are".</t>
  </si>
  <si>
    <t xml:space="preserve">• pg. 8: “These aspects are are addressed in moveEZ.”</t>
  </si>
  <si>
    <t xml:space="preserve">Remove the repeated word.</t>
  </si>
  <si>
    <t xml:space="preserve">R5-21</t>
  </si>
  <si>
    <t xml:space="preserve">Still in submitted version (Section 4.2).</t>
  </si>
  <si>
    <t xml:space="preserve">R4-09</t>
  </si>
  <si>
    <t xml:space="preserve">Typo 2</t>
  </si>
  <si>
    <t xml:space="preserve">Section 6.1</t>
  </si>
  <si>
    <t xml:space="preserve">Wording "squared sum of squares distances" is not correct.</t>
  </si>
  <si>
    <t xml:space="preserve">• pg. 11: “the squared sum of squares distances”</t>
  </si>
  <si>
    <t xml:space="preserve">Rewrite the phrase.</t>
  </si>
  <si>
    <t xml:space="preserve">Still in submitted version (Section 6.1).</t>
  </si>
  <si>
    <t xml:space="preserve">moveplot3() help page (if same wording)</t>
  </si>
  <si>
    <t xml:space="preserve">R4-10</t>
  </si>
  <si>
    <t xml:space="preserve">Summary</t>
  </si>
  <si>
    <t xml:space="preserve">The contribution is not large enough for the R Journal. GPA is well known and easy to code. Animation is ggplot2 plus gganimate. The wrapper adds little. Method choices are not justified, so the figures are ambiguous.</t>
  </si>
  <si>
    <t xml:space="preserve">[From 1. General:] moveEZ is an R package that animates PCA biplots, constructing biplots with biplotEZ and animating them with gganimate. The key idea is that some data has a time dimension, and so one might want to animate a PCA biplot over time. moveEZ exposes three plotting functions and one diagnostic function:
• moveplot(): embed data from all time points into the same shared subspace,
• moveplot2(): embed data from all time points into distinct subspaces of the same dimension, leaving the user to align them via the align.time and reflect arguments,
• moveplot3(): embed data from all time points into distinct subspaces of the same dimension, and then align them automatically by generalized Procrustes analysis (GPA), and
• evaluation(): report Procrustes-based measures comparing each aligned time slice against the target configuration.
The paper is clearly written and easy to follow. The package installs cleanly and the worked examples run.
[From 5. Summary:] My view is that the contribution is not substantial in the sense the R Journal requires. The alignment step is a well-known technique that is straightforward to implement (see below) and once the data has been aligned, animating the biplots is a straightforward combination of ggplot2 and gganimate.
[R code from the report:]
library(gapminder)
library(vegan)
pca_vars &lt;- c("lifeExp", "gdpPercap", "pop")
years &lt;- sort(unique(gapminder$year))
# scale once globally
scaled_vars &lt;- scale(gapminder[pca_vars])
# one PCA score matrix per year, aligned by country so that row i always
# refers to the same country -- GPA/Procrustes requires the rows of each
# configuration to correspond to the same entities
configs &lt;- lapply(years, function(yr) {
rows &lt;- gapminder$year == yr
by_country &lt;- order(gapminder$country[rows])
prcomp(scaled_vars[rows, ][by_country, ])$x
})
# --- generalized Procrustes analysis ---------------------------------
# Start from one year as an initial guess at the consensus shape, then
# iterate: align every year to the current consensus, recompute the
# consensus as the mean of the aligned configurations, and repeat until
# the consensus stops moving.
consensus &lt;- configs[[1]]
repeat {
aligned &lt;- lapply(configs, function(cfg) procrustes(X = consensus, Y = cfg)$Yrot)
new_consensus &lt;- Reduce(`+`, aligned) / length(aligned)
shift &lt;- sqrt(sum((new_consensus - consensus)^2))
consensus &lt;- new_consensus
if (shift &lt; 1e-8) break
}
aligned_by_year &lt;- setNames(aligned, years)
It may be true that this functionality has not been cleanly wrapped into a single function before, but the convenience of a wrapper around this functionality is quite modest. Further, the manuscript does not justify its methodological choices in terms of any properties of generalized Procrustes analysis or common variance structures or shared subspaces, so the interpretation of the figures produced by moveEZ is ambiguous.</t>
  </si>
  <si>
    <t xml:space="preserve">Make the case for the contribution. Justify the method choices with properties of GPA or shared subspaces.</t>
  </si>
  <si>
    <t xml:space="preserve">R5-13</t>
  </si>
  <si>
    <t xml:space="preserve">Open. The Conclusion claims a gap in the R ecosystem with no comparison to other packages.</t>
  </si>
  <si>
    <t xml:space="preserve">R5-01</t>
  </si>
  <si>
    <t xml:space="preserve">General</t>
  </si>
  <si>
    <t xml:space="preserve">moveplot() with a fixed frame is sound and useful. The dynamic frame (moveplot2(), moveplot3()) lacks justification, validation, links to other work, and clear presentation. Needs a large revision.</t>
  </si>
  <si>
    <t xml:space="preserve">The `moveEZ` package addresses a potentially useful problem: animating PCA biplots across the levels of an ordered categorical variable. The `moveplot()` function, which projects observations from different time slices into a common global PCA space, is conceptually sound and represents a reasonable contribution to the R community. In particular, the use of a fixed variable frame provides an intuitive way to examine trajectories in multivariate data while maintaining a stable coordinate system.
However, the manuscript has substantial weaknesses in methodological justification, validation, literature engagement, and presentation. In particular, the statistical motivation and interpretation of the dynamic variable frame implemented by `moveplot2()` and `moveplot3()` are not sufficiently established. The manuscript currently treats the alignment of separately computed PCA solutions primarily as a technical visualization problem, whereas it raises more fundamental questions about whether the resulting components and variable vectors are statistically comparable across time. The manuscript also does not adequately position `moveEZ` relative to the existing ecosystem of animated high-dimensional visualization in R, particularly tour methods.
Overall, I think the underlying idea is potentially useful, and the fixed-frame approach is sensible. However, substantial revision is required before the manuscript can be considered for publication.</t>
  </si>
  <si>
    <t xml:space="preserve">Address points R5-02 to R5-25 and the code points.</t>
  </si>
  <si>
    <t xml:space="preserve">Open.</t>
  </si>
  <si>
    <t xml:space="preserve">R5-02</t>
  </si>
  <si>
    <t xml:space="preserve">1</t>
  </si>
  <si>
    <t xml:space="preserve">Section 3 text; Table 1; Section 5</t>
  </si>
  <si>
    <t xml:space="preserve">It is not clear when a separate PCA per time point is necessary. Reviewer asks four questions: which question needs it, what it adds over moveplot() or static plots, when to use a fixed frame, and how to check that PC1 and PC2 show the temporal structure.</t>
  </si>
  <si>
    <t xml:space="preserve">The fixed-frame approach in `moveplot()` is relatively straightforward to interpret because observations are projected into a common PCA space. The motivation for changing the variable frame in `moveplot2()` and `moveplot3()` is less clear.
The authors should identify the specific analytical questions for which a separate PCA at each time point is necessary or substantially more informative than a fixed global PCA or a sequence of static PCA plots. In particular, they should explain:
1. What substantive question requires a separate PCA at each time point?
2. What information is gained that cannot be obtained from `moveplot()` or static PCA plots?
3. When should users prefer a fixed frame over a dynamic frame?
4. How should users assess whether PC1 and PC2 adequately represent the relevant temporal structure?</t>
  </si>
  <si>
    <t xml:space="preserve">Answer the four questions in the paper.</t>
  </si>
  <si>
    <t xml:space="preserve">Partly. Section 3 and Table 1 say when to use each function. The four questions are not answered.</t>
  </si>
  <si>
    <t xml:space="preserve">Vignette and help pages (choice guidance)</t>
  </si>
  <si>
    <t xml:space="preserve">R5-03</t>
  </si>
  <si>
    <t xml:space="preserve">First two PCs</t>
  </si>
  <si>
    <t xml:space="preserve">Only PC1 and PC2 are shown. Change over time can occur in higher PCs. Tours can use all dimensions.</t>
  </si>
  <si>
    <t xml:space="preserve">The restriction to the first two PCs also needs justification. Important temporal variation may occur in higher-order components and therefore be missed by a two-dimensional representation. This is particularly relevant when comparing `moveEZ` with tour methods, which can explore projections involving all dimensions. The authors should discuss this limitation and provide practical guidance on when a PC1–PC2 representation is appropriate.</t>
  </si>
  <si>
    <t xml:space="preserve">Justify the two-PC limit. Give guidance on when it is sufficient.</t>
  </si>
  <si>
    <t xml:space="preserve">R5-11</t>
  </si>
  <si>
    <t xml:space="preserve">Open. Section 2 uses only the first two columns. No discussion of other PCs.</t>
  </si>
  <si>
    <t xml:space="preserve">moveplot functions: option to pick other PCs</t>
  </si>
  <si>
    <t xml:space="preserve">R5-04</t>
  </si>
  <si>
    <t xml:space="preserve">Section 5</t>
  </si>
  <si>
    <t xml:space="preserve">The purpose of the dynamic frame is not stated. If it is to show how variable directions change, say so.</t>
  </si>
  <si>
    <t xml:space="preserve">The authors should also clarify the relationship between the dynamic frame and the underlying analytical objective. If the primary purpose is to examine how variable directions change over time, this should be stated explicitly, together with guidance on when such changes are substantively meaningful rather than simply a consequence of refitting PCA.</t>
  </si>
  <si>
    <t xml:space="preserve">State the goal. Tell users when direction changes are real and not only an effect of refitting PCA.</t>
  </si>
  <si>
    <t xml:space="preserve">Open. Section 5 says the dynamic frame is "more faithful" but gives no guidance.</t>
  </si>
  <si>
    <t xml:space="preserve">R5-05</t>
  </si>
  <si>
    <t xml:space="preserve">2</t>
  </si>
  <si>
    <t xml:space="preserve">Sections 5 and 6</t>
  </si>
  <si>
    <t xml:space="preserve">If the covariance changes, separate PCAs can point in different directions. It is not clear what it means to align them. A rotating vector can mean a change in importance, a change in relations, or an unstable PCA.</t>
  </si>
  <si>
    <t xml:space="preserve">The main concern is the statistical interpretation of `moveplot2()` and `moveplot3()`. The manuscript argues that these functions are useful when directional relationships among variables evolve over time. However, if the variance-covariance structure changes across time slices, separately computed PCA solutions may represent different directions in variable space at different time points. This raises an important issue beyond simply aligning the plots.
The authors should clarify what it means statistically to align PC1 and PC2 when these components may represent substantially different directions at different time points. Similarly, when a variable vector rotates, does this reflect a change in variable importance, relationships among variables, or instability in the separately estimated PCA solution? These possibilities should be distinguished rather than treating rotation as inherently meaningful temporal evolution.</t>
  </si>
  <si>
    <t xml:space="preserve">Explain what alignment means statistically. Separate the three causes of rotation.</t>
  </si>
  <si>
    <t xml:space="preserve">R5-06</t>
  </si>
  <si>
    <t xml:space="preserve">Each slice has its own coordinate system. Alignment makes plots look similar but does not make the axes equal. Changes in point position or hull spread can come from the PCA or total variance, not the data.</t>
  </si>
  <si>
    <t xml:space="preserve">The interpretation of point positions and spread across frames also requires clarification. Because PCA is refitted for each subset, each biplot is initially defined in a different coordinate system. Although the alignment procedure attempts to make these configurations visually comparable, it does not necessarily make the PC axes statistically equivalent. Consequently, changes in the positions or spread of points and hulls may reflect changes in the PCA solution or total variance rather than changes in the observations themselves.
This differs from a typical tour, where the data remain fixed and the projection basis changes while preserving the underlying data geometry. In the proposed approach, PCA is refitted at each time slice and GPA may additionally allow scaling. If total variance differs across time slices, this scaling may obscure genuine changes in the magnitude of variation. The authors should clarify this distinction and discuss its implications for interpretation.</t>
  </si>
  <si>
    <t xml:space="preserve">Discuss this. Compare with tours, where the data stay fixed.</t>
  </si>
  <si>
    <t xml:space="preserve">R5-12</t>
  </si>
  <si>
    <t xml:space="preserve">R5-07</t>
  </si>
  <si>
    <t xml:space="preserve">6.1; moveplot3()</t>
  </si>
  <si>
    <t xml:space="preserve">It is not stated if GPA scaling is on. Scaling can hide real changes in total variance.</t>
  </si>
  <si>
    <t xml:space="preserve">The use of Generalized Procrustes Analysis (GPA) also requires clarification. In particular, the authors should state whether scaling is enabled in `moveplot3()`. If scaling is applied, it may alter the relative magnitudes of the components and hence the representation of the variance structure. If scaling is disabled, the authors should explain why the remaining transformations are appropriate.</t>
  </si>
  <si>
    <t xml:space="preserve">State if scaling is on. Explain the effect, or explain why the other transformations are enough.</t>
  </si>
  <si>
    <t xml:space="preserve">R5-C01</t>
  </si>
  <si>
    <t xml:space="preserve">Open. Section 6.1 says scaling is applied. It also says the transformations preserve distances, which is not true when scaling is used.</t>
  </si>
  <si>
    <t xml:space="preserve">moveplot3() in plot.R: scaling argument</t>
  </si>
  <si>
    <t xml:space="preserve">R5-08</t>
  </si>
  <si>
    <t xml:space="preserve">New content</t>
  </si>
  <si>
    <t xml:space="preserve">Smaller distances do not prove the PCAs are comparable.</t>
  </si>
  <si>
    <t xml:space="preserve">More fundamentally, minimizing distances between configurations does not establish that the resulting PCA solutions are statistically comparable. Simulation studies with a known time-varying covariance structure would substantially strengthen the manuscript by assessing whether the proposed alignment recovers known changes or can itself introduce apparent rotations.</t>
  </si>
  <si>
    <t xml:space="preserve">Add a simulation with a known time-varying covariance. Test if alignment finds true changes or makes false rotations.</t>
  </si>
  <si>
    <t xml:space="preserve">Open. No simulation in the paper.</t>
  </si>
  <si>
    <t xml:space="preserve">6.1 criterion sentence</t>
  </si>
  <si>
    <t xml:space="preserve">The alignment criterion is not clear. It does not define the distance between biplots.</t>
  </si>
  <si>
    <t xml:space="preserve">The description of the alignment criterion, that the "squared sum of squares distances between a set target biplot and the aligned biplots are minimized", is also insufficiently clear. The authors should define what constitutes a distance between biplots and how these distances are computed, rather than relying solely on the cited reference.</t>
  </si>
  <si>
    <t xml:space="preserve">Define the distance and how it is calculated in the paper.</t>
  </si>
  <si>
    <t xml:space="preserve">R4-02, R4-09</t>
  </si>
  <si>
    <t xml:space="preserve">Open. Section 6.1 only cites a reference.</t>
  </si>
  <si>
    <t xml:space="preserve">R5-10</t>
  </si>
  <si>
    <t xml:space="preserve">Sections 4, 5 and 6</t>
  </si>
  <si>
    <t xml:space="preserve">Users need guidance on how to read movement. For moveplot(), movement is in a fixed space. For moveplot2() and moveplot3(), the moving frame adds ambiguity.</t>
  </si>
  <si>
    <t xml:space="preserve">I can see value in using this approach to examine how variable directions change over time, similar in spirit to a tour. However, interpreting changes in the positions or spread of points and hulls is more difficult when both the PCA directions and total variance vary across time. This limitation should be explicitly acknowledged.
Finally, the manuscript should provide clearer guidance on interpreting movement in the biplots. For `moveplot()`, this involves explaining movement within a fixed PCA space relative to the variable vectors; for `moveplot2()` and `moveplot3()`, the additional ambiguity caused by the changing coordinate system should be explicitly discussed.</t>
  </si>
  <si>
    <t xml:space="preserve">Say this limit clearly. Give reading guidance for each function.</t>
  </si>
  <si>
    <t xml:space="preserve">Vignette and help pages (reading guidance)</t>
  </si>
  <si>
    <t xml:space="preserve">3</t>
  </si>
  <si>
    <t xml:space="preserve">Introduction; related work</t>
  </si>
  <si>
    <t xml:space="preserve">The paper does not compare moveEZ with tourr, spinifex, langevitour and detourr.</t>
  </si>
  <si>
    <t xml:space="preserve">The manuscript needs a stronger discussion of existing approaches to animated high-dimensional visualization, particularly within the R ecosystem. The authors should position `moveEZ` relative to established packages such as `tourr`, `spinifex`, `langevitour`, and `detourr`, explaining what analytical questions `moveEZ` addresses that these approaches do not.</t>
  </si>
  <si>
    <t xml:space="preserve">Add a related work part. Say what moveEZ does that these do not.</t>
  </si>
  <si>
    <t xml:space="preserve">Open. No tour packages are cited.</t>
  </si>
  <si>
    <t xml:space="preserve">Introduction</t>
  </si>
  <si>
    <t xml:space="preserve">Tours keep the data fixed and move the projection. moveEZ refits PCA and can rescale.</t>
  </si>
  <si>
    <t xml:space="preserve">In particular, the authors should clarify how the repeated PCA/GPA procedure differs conceptually from tour methods. In a typical tour, the data remain fixed while the projection basis changes continuously, whereas the proposed approach refits the PCA solution at each time point and may additionally rescale the configurations. The implications of this difference for statistical interpretation should be made explicit.</t>
  </si>
  <si>
    <t xml:space="preserve">Explain this difference and what it means for interpretation.</t>
  </si>
  <si>
    <t xml:space="preserve">It is not clear if animated biplots over an ordered variable are new.</t>
  </si>
  <si>
    <t xml:space="preserve">The manuscript should also clarify whether animating biplots across an ordered variable is novel, or more specifically, how the implementation and statistical methodology differ from previous approaches. This would help establish the methodological contribution beyond the provision of a new R package.</t>
  </si>
  <si>
    <t xml:space="preserve">State the novelty. Compare with earlier methods.</t>
  </si>
  <si>
    <t xml:space="preserve">R5-14</t>
  </si>
  <si>
    <t xml:space="preserve">Introduction claims on animation</t>
  </si>
  <si>
    <t xml:space="preserve">Claims that animation helps people see movement have no support.</t>
  </si>
  <si>
    <t xml:space="preserve">Finally, claims about the benefits of animation for perceiving multivariate movement should be supported by relevant literature on animated statistical graphics and visual perception, including discussion of their limitations.</t>
  </si>
  <si>
    <t xml:space="preserve">Cite work on animated graphics and perception, with its limits.</t>
  </si>
  <si>
    <t xml:space="preserve">Open. The Introduction claim about seeing continuous movement has no citation.</t>
  </si>
  <si>
    <t xml:space="preserve">R5-15</t>
  </si>
  <si>
    <t xml:space="preserve">4</t>
  </si>
  <si>
    <t xml:space="preserve">Sections 4.2, 5, 6; Figures 4, 5, 7, 8</t>
  </si>
  <si>
    <t xml:space="preserve">The Africa climate example shows function, not analytical value.</t>
  </si>
  <si>
    <t xml:space="preserve">The Africa climate example is potentially useful, but it currently demonstrates functionality more than substantive analytical value. The authors should state the specific analytical question being addressed and explain what is learned from the animation that would be difficult to identify from static PCA plots, a fixed-frame `moveplot()`, or existing visualization methods.</t>
  </si>
  <si>
    <t xml:space="preserve">State the question. Show what the animation shows that static plots or moveplot() do not.</t>
  </si>
  <si>
    <t xml:space="preserve">Open. Section 4.2 says moveEZ addresses the limits of Figure 4, but no finding from Figure 5 is given.</t>
  </si>
  <si>
    <t xml:space="preserve">R5-16</t>
  </si>
  <si>
    <t xml:space="preserve">The example needs a concrete temporal finding.</t>
  </si>
  <si>
    <t xml:space="preserve">A stronger case study should demonstrate a concrete temporal pattern or substantive insight revealed by the dynamic biplot. For example, the authors could identify a change in the relationships among variables over time and show how this change is revealed by the dynamic variable frame.</t>
  </si>
  <si>
    <t xml:space="preserve">Show, for example, a change in variable relations that the dynamic frame reveals.</t>
  </si>
  <si>
    <t xml:space="preserve">R5-17</t>
  </si>
  <si>
    <t xml:space="preserve">It is not clear what causes the movement: the data, the PCA basis, the total variance, or a mix.</t>
  </si>
  <si>
    <t xml:space="preserve">The case study should also make clear whether the observed movement reflects changes in the underlying data, changes in the PCA basis, changes in total variance, or some combination of these. This would provide a more convincing demonstration of the analytical value of the proposed approach rather than simply showing that the functions can produce an animation.</t>
  </si>
  <si>
    <t xml:space="preserve">Separate these causes in the case study.</t>
  </si>
  <si>
    <t xml:space="preserve">R5-18</t>
  </si>
  <si>
    <t xml:space="preserve">5 (Sec 3)</t>
  </si>
  <si>
    <t xml:space="preserve">Section 3, first paragraph</t>
  </si>
  <si>
    <t xml:space="preserve">The claim that linear easing makes movement interpretable is too strong. Smooth is not the same as interpretable.</t>
  </si>
  <si>
    <t xml:space="preserve">* The statement that “Linear easing produces transitions at a constant rate, ensuring smooth and visually interpretable movement between states” may be too strong. Constant-rate interpolation produces smooth visual transitions, but smoothness does not necessarily imply statistical interpretability. The authors should qualify this statement.</t>
  </si>
  <si>
    <t xml:space="preserve">Qualify the sentence.</t>
  </si>
  <si>
    <t xml:space="preserve">Still in submitted version.</t>
  </si>
  <si>
    <t xml:space="preserve">Function names</t>
  </si>
  <si>
    <t xml:space="preserve">The function names do not show how the methods differ.</t>
  </si>
  <si>
    <t xml:space="preserve">* The function names `moveplot()`, `moveplot2()`, and `moveplot3()` are not particularly informative about the methodological differences between the functions. More descriptive names would make the package easier to understand and use.</t>
  </si>
  <si>
    <t xml:space="preserve">Use descriptive names.</t>
  </si>
  <si>
    <t xml:space="preserve">R5-20</t>
  </si>
  <si>
    <t xml:space="preserve">5 (Sec 4)</t>
  </si>
  <si>
    <t xml:space="preserve">Section 4.1, text after Figure 3</t>
  </si>
  <si>
    <t xml:space="preserve">The paper says population adds less information because of its large variance. But the data are scaled, so this reason is wrong. The population vector also looks long and on one PC.</t>
  </si>
  <si>
    <t xml:space="preserve">* The statement that population provides “less discriminatory information in the PCA space due to its large variance” requires clarification. Since PCA is performed with `scaled = TRUE`, the variables are standardized before PCA, so the larger original variance of population should not explain its contribution. Moreover, the population vector appears relatively long and strongly aligned with one of the principal components, along which Asia shows substantial movement. Please clarify how the authors infer that population contributes less discriminatory information from the vector orientations.</t>
  </si>
  <si>
    <t xml:space="preserve">Correct or explain the statement.</t>
  </si>
  <si>
    <t xml:space="preserve">Still in submitted version. The text also adds "This is confirmed by the vector orientation", which the reviewer questions.</t>
  </si>
  <si>
    <t xml:space="preserve">* There is a grammatical error: “are are” should be corrected to “are.”</t>
  </si>
  <si>
    <t xml:space="preserve">R5-22</t>
  </si>
  <si>
    <t xml:space="preserve">hulls argument; move = FALSE</t>
  </si>
  <si>
    <t xml:space="preserve">Convex hulls are sensitive to outliers.</t>
  </si>
  <si>
    <t xml:space="preserve">* When `move = FALSE`, convex hulls are used to summarize each region at each time point. Convex hulls can be strongly influenced by outliers and may therefore give a misleading representation of the central structure. Have the authors considered 90% or 95% multivariate normal ellipses, as commonly used in PCA visualizations to represent the central regions of groups?</t>
  </si>
  <si>
    <t xml:space="preserve">Think about 90% or 95% ellipses as an option.</t>
  </si>
  <si>
    <t xml:space="preserve">Open. Only the hulls argument exists.</t>
  </si>
  <si>
    <t xml:space="preserve">plot.R: ellipse option next to hulls</t>
  </si>
  <si>
    <t xml:space="preserve">R5-23</t>
  </si>
  <si>
    <t xml:space="preserve">5 (Sec 7)</t>
  </si>
  <si>
    <t xml:space="preserve">7.1 PS and CC</t>
  </si>
  <si>
    <t xml:space="preserve">It is not clear how PS and CC differ or why both are given.</t>
  </si>
  <si>
    <t xml:space="preserve">* The manuscript reports both the Procrustes Statistic (PS) and Congruence Coefficient (CC), with values close to zero indicating high similarity for PS and values close to one indicating high similarity for CC. How do these two measures differ, and what additional information is gained by reporting both?</t>
  </si>
  <si>
    <t xml:space="preserve">Explain the difference and the added value.</t>
  </si>
  <si>
    <t xml:space="preserve">Open. Section 7.1 lists both with no comparison.</t>
  </si>
  <si>
    <t xml:space="preserve">R5-24</t>
  </si>
  <si>
    <t xml:space="preserve">Figure 9 (fit plot)</t>
  </si>
  <si>
    <t xml:space="preserve">PS and CC go in opposite directions. The CC range is small.</t>
  </si>
  <si>
    <t xml:space="preserve">* For Figure 9, why not transform the Congruence Coefficient to `1 - CC` so that both measures have the same interpretation—where values closer to zero indicate greater similarity? This would also allow the plot to focus on the relatively small range of values shown for CC and make differences easier to see.</t>
  </si>
  <si>
    <t xml:space="preserve">Plot 1 - CC so both measures read the same way.</t>
  </si>
  <si>
    <t xml:space="preserve">Open. Figure 9 plots CC as it is.</t>
  </si>
  <si>
    <t xml:space="preserve">evaluation(): fit.plot</t>
  </si>
  <si>
    <t xml:space="preserve">R5-25</t>
  </si>
  <si>
    <t xml:space="preserve">5 (Sec 10)</t>
  </si>
  <si>
    <t xml:space="preserve">References heading</t>
  </si>
  <si>
    <t xml:space="preserve">Both "Reference" and "Bibliography" headings appear.</t>
  </si>
  <si>
    <t xml:space="preserve">* The manuscript contains both “Reference” and “Bibliography” headings. Only one is necessary.</t>
  </si>
  <si>
    <t xml:space="preserve">Keep one heading.</t>
  </si>
  <si>
    <t xml:space="preserve">Confirmed. The .Rmd has a "# References" heading and the R Journal template adds "Bibliography". Remove "# References".</t>
  </si>
  <si>
    <t xml:space="preserve">R5-C00</t>
  </si>
  <si>
    <t xml:space="preserve">Code: Usability</t>
  </si>
  <si>
    <t xml:space="preserve">Docs and API</t>
  </si>
  <si>
    <t xml:space="preserve">No clear workflow to choose a function. Docs have copy-paste errors. Some examples and parameters do not match the code.</t>
  </si>
  <si>
    <t xml:space="preserve">The package does not provide a sufficiently clear workflow for choosing between `moveplot()`, `moveplot2()`, and `moveplot3()`. Their different purposes and statistical mechanisms should be explained more explicitly. There are also implementation inconsistencies, duplicated/dead code, fragile input handling, inconsistent treatment of sparse data, and inconsistent output structures that could confuse users or cause downstream problems.
The documentation is generally user-oriented and provides useful examples, but it contains several inconsistencies and copy–paste errors that reduce confidence in the package. In particular, some examples and parameter descriptions do not match the implementation, while `evaluation()` makes assumptions about the time variable and appears inconsistent with its stated interpretation. A careful documentation and API consistency check is needed before submission.</t>
  </si>
  <si>
    <t xml:space="preserve">Do a full docs and API check.</t>
  </si>
  <si>
    <t xml:space="preserve">Partly. Table 1 in Section 3 helps users choose. Package docs not checked (code not attached).</t>
  </si>
  <si>
    <t xml:space="preserve">Help pages, examples, vignette</t>
  </si>
  <si>
    <t xml:space="preserve">plot.R:759 (s.list)</t>
  </si>
  <si>
    <t xml:space="preserve">moveplot3() gets the GPA scale list and does not use it. Scaling depends on GPAbin defaults, which are not set or documented.</t>
  </si>
  <si>
    <t xml:space="preserve">1. GPA scaling is used without being discussed or reported. `moveplot3()` pulls `s.list` out of the GPA output (`plot.R:759`) and then discards it. Whether configurations are isotropically scaled before alignment is a substantive decision: if scaling is allowed, differences in total variance between slices (spread changes, which are real signal in climate data) are normalized away before the viewer sees them. Whether that happened depends on `GPAbin::GPA` defaults, which the package neither controls explicitly nor documents.</t>
  </si>
  <si>
    <t xml:space="preserve">Set the scaling option in the code and document it.</t>
  </si>
  <si>
    <t xml:space="preserve">Paper link: Section 6.1 says scaling is applied. Code not attached.</t>
  </si>
  <si>
    <t xml:space="preserve">moveplot3() in plot.R:759</t>
  </si>
  <si>
    <t xml:space="preserve">evaluation_func.R:71-86</t>
  </si>
  <si>
    <t xml:space="preserve">evaluation() fits Procrustes, but only PS uses it. CC, RMSB, MB, AMB use the raw configurations. X.new is not used. PS leaves out b.fact.</t>
  </si>
  <si>
    <t xml:space="preserve">2. `evaluation()` is internally inconsistent about what it compares. The function recomputes a Procrustes fit (`C.mat`, `A.mat`, `s.fact`, `b.fact`, `X.new` — `evaluation_func.R:71-77`) but then only PS is evaluated on the aligned quantities. CC, RMSB, MB, AMB are computed on the raw, pre-alignment testee vs. target (`evaluation_func.R:83-86`). Since the whole point of `moveplot3` is that pre-alignment frames differ by arbitrary rotations/reflections, these bias measures will be dominated by alignment ambiguity rather than genuine discrepancy, and the fitted `X.new` (with its translation term) is never actually used. Either the measures are on the wrong basis, or the Procrustes block is dead code. Also note PS's residual uses `s.fact*testee%*%A.mat` without `b.fact`, inconsistent with the `X.new` definition on the same page.</t>
  </si>
  <si>
    <t xml:space="preserve">Put all measures on the correct basis, or remove the dead block.</t>
  </si>
  <si>
    <t xml:space="preserve">R4-04, R4-07</t>
  </si>
  <si>
    <t xml:space="preserve">Paper link: Table 3 and Figure 10 show the values from this code. Code not attached.</t>
  </si>
  <si>
    <t xml:space="preserve">evaluation() in evaluation_func.R:71-86</t>
  </si>
  <si>
    <t xml:space="preserve">R5-C03</t>
  </si>
  <si>
    <t xml:space="preserve">evaluation_func.R:100-106</t>
  </si>
  <si>
    <t xml:space="preserve">"Year" is hard-coded. Other time names give wrong labels. Non-numeric levels become NA.</t>
  </si>
  <si>
    <t xml:space="preserve">3. Hard-coded "Year". `evaluation()` extracts the time label with `gsub("Target vs. ", ...)` and builds a `Year` column (`evaluation_func.R:100-106`). With any other time variable name the axis label is wrong, and non-numeric levels silently become NA. The package advertises an arbitrary ordered index; this is a latent bug.</t>
  </si>
  <si>
    <t xml:space="preserve">Use the user's time variable name and allow non-numeric levels.</t>
  </si>
  <si>
    <t xml:space="preserve">Paper link: Table 3 headers "Target vs. 1950" come from this code. Code not attached.</t>
  </si>
  <si>
    <t xml:space="preserve">evaluation() in evaluation_func.R:100-106</t>
  </si>
  <si>
    <t xml:space="preserve">R5-C04</t>
  </si>
  <si>
    <t xml:space="preserve">Code 4</t>
  </si>
  <si>
    <t xml:space="preserve">moveplot3() target argument</t>
  </si>
  <si>
    <t xml:space="preserve">Rows of an external target must match each slice. This is not checked.</t>
  </si>
  <si>
    <t xml:space="preserve">4. Row-correspondence in GPA targets is assumed, not checked. With an external target, rows must correspond positionally to each slice's rows (same samples). Nothing validates row counts or ordering before `GPAbin::GPA`; a mismatch produces a cryptic error or a silently wrong alignment.</t>
  </si>
  <si>
    <t xml:space="preserve">Check row counts and order before GPA.</t>
  </si>
  <si>
    <t xml:space="preserve">Paper link: Section 6.2 passes Africa_climate_target as the target. Code not attached.</t>
  </si>
  <si>
    <t xml:space="preserve">moveplot3() in plot.R: input checks before GPAbin::GPA</t>
  </si>
  <si>
    <t xml:space="preserve">R5-C05</t>
  </si>
  <si>
    <t xml:space="preserve">Code 5</t>
  </si>
  <si>
    <t xml:space="preserve">plot.R:199-203, 500, 788</t>
  </si>
  <si>
    <t xml:space="preserve">moveplot() guards small groups for hulls. moveplot2() and moveplot3() do not.</t>
  </si>
  <si>
    <t xml:space="preserve">5. Hull guards are inconsistent. `moveplot()` handles groups with too few points for a convex hull (`plot.R:199-203`); `moveplot2()`/`moveplot3()` call `grDevices::chull` unconditionally (`plot.R:500, 788`). The package docs say hulls "require at least three observations" only for `moveplot()`.</t>
  </si>
  <si>
    <t xml:space="preserve">Add the same guard to all functions and document it.</t>
  </si>
  <si>
    <t xml:space="preserve">Paper link: Section 4.2 states the hull guard only for moveplot(). Code not attached.</t>
  </si>
  <si>
    <t xml:space="preserve">moveplot2(), moveplot3() in plot.R:500, 788</t>
  </si>
  <si>
    <t xml:space="preserve">R5-C06</t>
  </si>
  <si>
    <t xml:space="preserve">Code 6</t>
  </si>
  <si>
    <t xml:space="preserve">Input handling</t>
  </si>
  <si>
    <t xml:space="preserve">Factor inputs and NAs are not checked. Integer time variables fail with unclear errors.</t>
  </si>
  <si>
    <t xml:space="preserve">6. `Variable`/`time` columns must be factors with levels; none of this is validated. An integer time variable makes `nlevels()` return `NULL` and the functions fail downstream with an unhelpful error. `NAs` anywhere are unhandled and undocumented.</t>
  </si>
  <si>
    <t xml:space="preserve">Validate inputs and give clear messages. Document NA handling.</t>
  </si>
  <si>
    <t xml:space="preserve">Paper link: the gapminder example converts year to a factor by hand. Code not attached.</t>
  </si>
  <si>
    <t xml:space="preserve">All moveplot functions: input checks</t>
  </si>
  <si>
    <t xml:space="preserve">R5-C07</t>
  </si>
  <si>
    <t xml:space="preserve">Code 7</t>
  </si>
  <si>
    <t xml:space="preserve">plot.R; moveplot_func.R</t>
  </si>
  <si>
    <t xml:space="preserve">About 200 lines of ggplot code are copied in each function. moveplot_func.R is unused code in the package.</t>
  </si>
  <si>
    <t xml:space="preserve">7. large-scale duplication. The ggplot construction (~200 lines) is copy-pasted across `moveplot`/`moveplot2`/`moveplot3`, and `moveplot_func()` (`moveplot_func.R`) is a second, unexported, currently unused implementation of `moveplot()` with newer features (group.col, which, join.dots), shipped dead code in the CRAN tarball.</t>
  </si>
  <si>
    <t xml:space="preserve">Move shared code to one helper. Remove or export moveplot_func().</t>
  </si>
  <si>
    <t xml:space="preserve">Code not attached.</t>
  </si>
  <si>
    <t xml:space="preserve">R5-C08</t>
  </si>
  <si>
    <t xml:space="preserve">Code 8</t>
  </si>
  <si>
    <t xml:space="preserve">plot.R:446; evaluation_func.R:110</t>
  </si>
  <si>
    <t xml:space="preserve">knitr, purrr and scales are in Suggests but used in functions with no requireNamespace() check.</t>
  </si>
  <si>
    <t xml:space="preserve">8. Suggests packages used at runtime without guards: `knitr::kable`, `purrr`, `scales` are used inside package functions (`plot.R:446`, `evaluation_func.R:110`, etc.) but listed only in Suggests, and there's no requireNamespace() check.</t>
  </si>
  <si>
    <t xml:space="preserve">Move them to Imports or add checks.</t>
  </si>
  <si>
    <t xml:space="preserve">Paper link: the examples use scales::hue_pal(). Code not attached.</t>
  </si>
  <si>
    <t xml:space="preserve">DESCRIPTION; plot.R:446; evaluation_func.R:110</t>
  </si>
  <si>
    <t xml:space="preserve">R5-C09</t>
  </si>
  <si>
    <t xml:space="preserve">Code 9</t>
  </si>
  <si>
    <t xml:space="preserve">tests/</t>
  </si>
  <si>
    <t xml:space="preserve">testthat is in Suggests, but there are no tests.</t>
  </si>
  <si>
    <t xml:space="preserve">9. No tests. Suggests: testthat is declared but the package ships no tests/ directory, unusual for a CRAN package this data-wrangling-heavy.</t>
  </si>
  <si>
    <t xml:space="preserve">Add tests.</t>
  </si>
  <si>
    <t xml:space="preserve">tests/ folder</t>
  </si>
  <si>
    <t xml:space="preserve">Note: Yellow cells are for the authors to fill in. Status list: To do, In progress, Verify, Done, Will not change.</t>
  </si>
  <si>
    <t xml:space="preserve">Note: The verbatim column copies the reviewers' exact text, including their punctuation and typos. Summaries are in column H.</t>
  </si>
  <si>
    <t xml:space="preserve">Note: Priority is a suggested rating, not the reviewers' own rating.</t>
  </si>
  <si>
    <t xml:space="preserve">Note: Checks compare the reviews with the submitted moveEZ.tex and moveEZ.Rmd. The package source code was not attached, so code rows show only the link to the paper.</t>
  </si>
  <si>
    <t xml:space="preserve">Note: Package change needed = Maybe means the fix can be in the paper only, or also in the package.</t>
  </si>
  <si>
    <t xml:space="preserve">Changes to the moveEZ package (from all comments with Package change needed = Yes or Maybe)</t>
  </si>
  <si>
    <t xml:space="preserve">Status is a formula that reads the All Comments sheet. Update the status there.</t>
  </si>
  <si>
    <t xml:space="preserve">Needed</t>
  </si>
  <si>
    <t xml:space="preserve">Shared theme</t>
  </si>
  <si>
    <t xml:space="preserve">Why it matters</t>
  </si>
  <si>
    <t xml:space="preserve">Justify GPA alignment and what the aligned axes mean</t>
  </si>
  <si>
    <t xml:space="preserve">R5-04, R5-05, R5-06, R5-07</t>
  </si>
  <si>
    <t xml:space="preserve">Both reviewers doubt that aligned PCAs keep a clear PCA meaning.</t>
  </si>
  <si>
    <t xml:space="preserve">Formal definition of GPA and its distance</t>
  </si>
  <si>
    <t xml:space="preserve">Both ask for a precise method description in the paper.</t>
  </si>
  <si>
    <t xml:space="preserve">Examples must show real findings</t>
  </si>
  <si>
    <t xml:space="preserve">R5-15, R5-16, R5-17</t>
  </si>
  <si>
    <t xml:space="preserve">4 to 6 (Africa climate)</t>
  </si>
  <si>
    <t xml:space="preserve">Both say the figures show function, not insight.</t>
  </si>
  <si>
    <t xml:space="preserve">evaluation() measures use the wrong basis</t>
  </si>
  <si>
    <t xml:space="preserve">Both found the same code error. MB = 0.0000 in Table 3 agrees with it.</t>
  </si>
  <si>
    <t xml:space="preserve">Function names are not descriptive</t>
  </si>
  <si>
    <t xml:space="preserve">Both ask for it. Needs a package change.</t>
  </si>
  <si>
    <t xml:space="preserve">Contribution and novelty</t>
  </si>
  <si>
    <t xml:space="preserve">R5-01, R5-13</t>
  </si>
  <si>
    <t xml:space="preserve">Key point for the editor's decision.</t>
  </si>
  <si>
    <t xml:space="preserve">Typo "are are"</t>
  </si>
  <si>
    <t xml:space="preserve">Still in Section 4.2 of the submitted version.</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</si>
</sst>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2CC"/>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8CBAD"/>
          <bgColor rgb="FF000000"/>
        </patternFill>
      </fill>
    </dxf>
    <dxf>
      <fill>
        <patternFill patternType="solid">
          <fgColor rgb="FFDDEBF7"/>
          <bgColor rgb="FF000000"/>
        </patternFill>
      </fill>
    </dxf>
    <dxf>
      <fill>
        <patternFill patternType="solid">
          <fgColor rgb="FFFFF2CC"/>
          <bgColor rgb="FF000000"/>
        </patternFill>
      </fill>
    </dxf>
    <dxf>
      <fill>
        <patternFill>
          <bgColor rgb="FFF8CBAD"/>
        </patternFill>
      </fill>
    </dxf>
    <dxf>
      <fill>
        <patternFill>
          <bgColor rgb="FFC6EFCE"/>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8CBAD"/>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34"/>
    <col collapsed="false" customWidth="true" hidden="false" outlineLevel="0" max="7" min="4" style="0" width="11"/>
  </cols>
  <sheetData>
    <row r="1" customFormat="false" ht="16.15" hidden="false" customHeight="false" outlineLevel="0" collapsed="false">
      <c r="A1" s="1" t="s">
        <v>0</v>
      </c>
    </row>
    <row r="2" customFormat="false" ht="15" hidden="false" customHeight="false" outlineLevel="0" collapsed="false">
      <c r="A2" s="2" t="s">
        <v>1</v>
      </c>
    </row>
    <row r="4" customFormat="false" ht="23.85" hidden="false" customHeight="false" outlineLevel="0" collapsed="false">
      <c r="A4" s="3" t="s">
        <v>2</v>
      </c>
      <c r="B4" s="3" t="s">
        <v>3</v>
      </c>
      <c r="C4" s="3" t="s">
        <v>4</v>
      </c>
      <c r="D4" s="3" t="s">
        <v>5</v>
      </c>
      <c r="E4" s="3" t="s">
        <v>6</v>
      </c>
      <c r="F4" s="3" t="s">
        <v>7</v>
      </c>
      <c r="G4" s="3" t="s">
        <v>8</v>
      </c>
    </row>
    <row r="5" customFormat="false" ht="15" hidden="false" customHeight="false" outlineLevel="0" collapsed="false">
      <c r="A5" s="4" t="s">
        <v>9</v>
      </c>
      <c r="B5" s="4" t="n">
        <f aca="false">COUNTIFS('All Comments'!$D:$D,$A5,'All Comments'!$B:$B,"Reviewer 4")</f>
        <v>1</v>
      </c>
      <c r="C5" s="4" t="n">
        <f aca="false">COUNTIFS('All Comments'!$D:$D,$A5,'All Comments'!$B:$B,"Reviewer 5")</f>
        <v>1</v>
      </c>
      <c r="D5" s="4" t="n">
        <f aca="false">B5+C5</f>
        <v>2</v>
      </c>
      <c r="E5" s="4" t="n">
        <f aca="false">COUNTIFS('All Comments'!$D:$D,$A5,'All Comments'!$G:$G,"Major")</f>
        <v>2</v>
      </c>
      <c r="F5" s="4" t="n">
        <f aca="false">COUNTIFS('All Comments'!$D:$D,$A5,'All Comments'!$M:$M,"Yes")</f>
        <v>0</v>
      </c>
      <c r="G5" s="4" t="n">
        <f aca="false">D5-COUNTIFS('All Comments'!$D:$D,$A5,'All Comments'!$P:$P,"Done")-COUNTIFS('All Comments'!$D:$D,$A5,'All Comments'!$P:$P,"Will not change")</f>
        <v>2</v>
      </c>
    </row>
    <row r="6" customFormat="false" ht="15" hidden="false" customHeight="false" outlineLevel="0" collapsed="false">
      <c r="A6" s="4" t="s">
        <v>10</v>
      </c>
      <c r="B6" s="4" t="n">
        <f aca="false">COUNTIFS('All Comments'!$D:$D,$A6,'All Comments'!$B:$B,"Reviewer 4")</f>
        <v>0</v>
      </c>
      <c r="C6" s="4" t="n">
        <f aca="false">COUNTIFS('All Comments'!$D:$D,$A6,'All Comments'!$B:$B,"Reviewer 5")</f>
        <v>4</v>
      </c>
      <c r="D6" s="4" t="n">
        <f aca="false">B6+C6</f>
        <v>4</v>
      </c>
      <c r="E6" s="4" t="n">
        <f aca="false">COUNTIFS('All Comments'!$D:$D,$A6,'All Comments'!$G:$G,"Major")</f>
        <v>3</v>
      </c>
      <c r="F6" s="4" t="n">
        <f aca="false">COUNTIFS('All Comments'!$D:$D,$A6,'All Comments'!$M:$M,"Yes")</f>
        <v>0</v>
      </c>
      <c r="G6" s="4" t="n">
        <f aca="false">D6-COUNTIFS('All Comments'!$D:$D,$A6,'All Comments'!$P:$P,"Done")-COUNTIFS('All Comments'!$D:$D,$A6,'All Comments'!$P:$P,"Will not change")</f>
        <v>4</v>
      </c>
    </row>
    <row r="7" customFormat="false" ht="15" hidden="false" customHeight="false" outlineLevel="0" collapsed="false">
      <c r="A7" s="4" t="s">
        <v>11</v>
      </c>
      <c r="B7" s="4" t="n">
        <f aca="false">COUNTIFS('All Comments'!$D:$D,$A7,'All Comments'!$B:$B,"Reviewer 4")</f>
        <v>0</v>
      </c>
      <c r="C7" s="4" t="n">
        <f aca="false">COUNTIFS('All Comments'!$D:$D,$A7,'All Comments'!$B:$B,"Reviewer 5")</f>
        <v>1</v>
      </c>
      <c r="D7" s="4" t="n">
        <f aca="false">B7+C7</f>
        <v>1</v>
      </c>
      <c r="E7" s="4" t="n">
        <f aca="false">COUNTIFS('All Comments'!$D:$D,$A7,'All Comments'!$G:$G,"Major")</f>
        <v>1</v>
      </c>
      <c r="F7" s="4" t="n">
        <f aca="false">COUNTIFS('All Comments'!$D:$D,$A7,'All Comments'!$M:$M,"Yes")</f>
        <v>0</v>
      </c>
      <c r="G7" s="4" t="n">
        <f aca="false">D7-COUNTIFS('All Comments'!$D:$D,$A7,'All Comments'!$P:$P,"Done")-COUNTIFS('All Comments'!$D:$D,$A7,'All Comments'!$P:$P,"Will not change")</f>
        <v>1</v>
      </c>
    </row>
    <row r="8" customFormat="false" ht="15" hidden="false" customHeight="false" outlineLevel="0" collapsed="false">
      <c r="A8" s="4" t="s">
        <v>12</v>
      </c>
      <c r="B8" s="4" t="n">
        <f aca="false">COUNTIFS('All Comments'!$D:$D,$A8,'All Comments'!$B:$B,"Reviewer 4")</f>
        <v>1</v>
      </c>
      <c r="C8" s="4" t="n">
        <f aca="false">COUNTIFS('All Comments'!$D:$D,$A8,'All Comments'!$B:$B,"Reviewer 5")</f>
        <v>2</v>
      </c>
      <c r="D8" s="4" t="n">
        <f aca="false">B8+C8</f>
        <v>3</v>
      </c>
      <c r="E8" s="4" t="n">
        <f aca="false">COUNTIFS('All Comments'!$D:$D,$A8,'All Comments'!$G:$G,"Major")</f>
        <v>0</v>
      </c>
      <c r="F8" s="4" t="n">
        <f aca="false">COUNTIFS('All Comments'!$D:$D,$A8,'All Comments'!$M:$M,"Yes")</f>
        <v>2</v>
      </c>
      <c r="G8" s="4" t="n">
        <f aca="false">D8-COUNTIFS('All Comments'!$D:$D,$A8,'All Comments'!$P:$P,"Done")-COUNTIFS('All Comments'!$D:$D,$A8,'All Comments'!$P:$P,"Will not change")</f>
        <v>3</v>
      </c>
    </row>
    <row r="9" customFormat="false" ht="15" hidden="false" customHeight="false" outlineLevel="0" collapsed="false">
      <c r="A9" s="4" t="s">
        <v>13</v>
      </c>
      <c r="B9" s="4" t="n">
        <f aca="false">COUNTIFS('All Comments'!$D:$D,$A9,'All Comments'!$B:$B,"Reviewer 4")</f>
        <v>1</v>
      </c>
      <c r="C9" s="4" t="n">
        <f aca="false">COUNTIFS('All Comments'!$D:$D,$A9,'All Comments'!$B:$B,"Reviewer 5")</f>
        <v>6</v>
      </c>
      <c r="D9" s="4" t="n">
        <f aca="false">B9+C9</f>
        <v>7</v>
      </c>
      <c r="E9" s="4" t="n">
        <f aca="false">COUNTIFS('All Comments'!$D:$D,$A9,'All Comments'!$G:$G,"Major")</f>
        <v>3</v>
      </c>
      <c r="F9" s="4" t="n">
        <f aca="false">COUNTIFS('All Comments'!$D:$D,$A9,'All Comments'!$M:$M,"Yes")</f>
        <v>1</v>
      </c>
      <c r="G9" s="4" t="n">
        <f aca="false">D9-COUNTIFS('All Comments'!$D:$D,$A9,'All Comments'!$P:$P,"Done")-COUNTIFS('All Comments'!$D:$D,$A9,'All Comments'!$P:$P,"Will not change")</f>
        <v>7</v>
      </c>
    </row>
    <row r="10" customFormat="false" ht="15" hidden="false" customHeight="false" outlineLevel="0" collapsed="false">
      <c r="A10" s="4" t="s">
        <v>14</v>
      </c>
      <c r="B10" s="4" t="n">
        <f aca="false">COUNTIFS('All Comments'!$D:$D,$A10,'All Comments'!$B:$B,"Reviewer 4")</f>
        <v>0</v>
      </c>
      <c r="C10" s="4" t="n">
        <f aca="false">COUNTIFS('All Comments'!$D:$D,$A10,'All Comments'!$B:$B,"Reviewer 5")</f>
        <v>4</v>
      </c>
      <c r="D10" s="4" t="n">
        <f aca="false">B10+C10</f>
        <v>4</v>
      </c>
      <c r="E10" s="4" t="n">
        <f aca="false">COUNTIFS('All Comments'!$D:$D,$A10,'All Comments'!$G:$G,"Major")</f>
        <v>4</v>
      </c>
      <c r="F10" s="4" t="n">
        <f aca="false">COUNTIFS('All Comments'!$D:$D,$A10,'All Comments'!$M:$M,"Yes")</f>
        <v>0</v>
      </c>
      <c r="G10" s="4" t="n">
        <f aca="false">D10-COUNTIFS('All Comments'!$D:$D,$A10,'All Comments'!$P:$P,"Done")-COUNTIFS('All Comments'!$D:$D,$A10,'All Comments'!$P:$P,"Will not change")</f>
        <v>4</v>
      </c>
    </row>
    <row r="11" customFormat="false" ht="15" hidden="false" customHeight="false" outlineLevel="0" collapsed="false">
      <c r="A11" s="4" t="s">
        <v>15</v>
      </c>
      <c r="B11" s="4" t="n">
        <f aca="false">COUNTIFS('All Comments'!$D:$D,$A11,'All Comments'!$B:$B,"Reviewer 4")</f>
        <v>4</v>
      </c>
      <c r="C11" s="4" t="n">
        <f aca="false">COUNTIFS('All Comments'!$D:$D,$A11,'All Comments'!$B:$B,"Reviewer 5")</f>
        <v>4</v>
      </c>
      <c r="D11" s="4" t="n">
        <f aca="false">B11+C11</f>
        <v>8</v>
      </c>
      <c r="E11" s="4" t="n">
        <f aca="false">COUNTIFS('All Comments'!$D:$D,$A11,'All Comments'!$G:$G,"Major")</f>
        <v>7</v>
      </c>
      <c r="F11" s="4" t="n">
        <f aca="false">COUNTIFS('All Comments'!$D:$D,$A11,'All Comments'!$M:$M,"Yes")</f>
        <v>1</v>
      </c>
      <c r="G11" s="4" t="n">
        <f aca="false">D11-COUNTIFS('All Comments'!$D:$D,$A11,'All Comments'!$P:$P,"Done")-COUNTIFS('All Comments'!$D:$D,$A11,'All Comments'!$P:$P,"Will not change")</f>
        <v>8</v>
      </c>
    </row>
    <row r="12" customFormat="false" ht="15" hidden="false" customHeight="false" outlineLevel="0" collapsed="false">
      <c r="A12" s="4" t="s">
        <v>16</v>
      </c>
      <c r="B12" s="4" t="n">
        <f aca="false">COUNTIFS('All Comments'!$D:$D,$A12,'All Comments'!$B:$B,"Reviewer 4")</f>
        <v>1</v>
      </c>
      <c r="C12" s="4" t="n">
        <f aca="false">COUNTIFS('All Comments'!$D:$D,$A12,'All Comments'!$B:$B,"Reviewer 5")</f>
        <v>2</v>
      </c>
      <c r="D12" s="4" t="n">
        <f aca="false">B12+C12</f>
        <v>3</v>
      </c>
      <c r="E12" s="4" t="n">
        <f aca="false">COUNTIFS('All Comments'!$D:$D,$A12,'All Comments'!$G:$G,"Major")</f>
        <v>1</v>
      </c>
      <c r="F12" s="4" t="n">
        <f aca="false">COUNTIFS('All Comments'!$D:$D,$A12,'All Comments'!$M:$M,"Yes")</f>
        <v>2</v>
      </c>
      <c r="G12" s="4" t="n">
        <f aca="false">D12-COUNTIFS('All Comments'!$D:$D,$A12,'All Comments'!$P:$P,"Done")-COUNTIFS('All Comments'!$D:$D,$A12,'All Comments'!$P:$P,"Will not change")</f>
        <v>3</v>
      </c>
    </row>
    <row r="13" customFormat="false" ht="15" hidden="false" customHeight="false" outlineLevel="0" collapsed="false">
      <c r="A13" s="4" t="s">
        <v>17</v>
      </c>
      <c r="B13" s="4" t="n">
        <f aca="false">COUNTIFS('All Comments'!$D:$D,$A13,'All Comments'!$B:$B,"Reviewer 4")</f>
        <v>0</v>
      </c>
      <c r="C13" s="4" t="n">
        <f aca="false">COUNTIFS('All Comments'!$D:$D,$A13,'All Comments'!$B:$B,"Reviewer 5")</f>
        <v>0</v>
      </c>
      <c r="D13" s="4" t="n">
        <f aca="false">B13+C13</f>
        <v>0</v>
      </c>
      <c r="E13" s="4" t="n">
        <f aca="false">COUNTIFS('All Comments'!$D:$D,$A13,'All Comments'!$G:$G,"Major")</f>
        <v>0</v>
      </c>
      <c r="F13" s="4" t="n">
        <f aca="false">COUNTIFS('All Comments'!$D:$D,$A13,'All Comments'!$M:$M,"Yes")</f>
        <v>0</v>
      </c>
      <c r="G13" s="4" t="n">
        <f aca="false">D13-COUNTIFS('All Comments'!$D:$D,$A13,'All Comments'!$P:$P,"Done")-COUNTIFS('All Comments'!$D:$D,$A13,'All Comments'!$P:$P,"Will not change")</f>
        <v>0</v>
      </c>
    </row>
    <row r="14" customFormat="false" ht="15" hidden="false" customHeight="false" outlineLevel="0" collapsed="false">
      <c r="A14" s="4" t="s">
        <v>18</v>
      </c>
      <c r="B14" s="4" t="n">
        <f aca="false">COUNTIFS('All Comments'!$D:$D,$A14,'All Comments'!$B:$B,"Reviewer 4")</f>
        <v>0</v>
      </c>
      <c r="C14" s="4" t="n">
        <f aca="false">COUNTIFS('All Comments'!$D:$D,$A14,'All Comments'!$B:$B,"Reviewer 5")</f>
        <v>1</v>
      </c>
      <c r="D14" s="4" t="n">
        <f aca="false">B14+C14</f>
        <v>1</v>
      </c>
      <c r="E14" s="4" t="n">
        <f aca="false">COUNTIFS('All Comments'!$D:$D,$A14,'All Comments'!$G:$G,"Major")</f>
        <v>0</v>
      </c>
      <c r="F14" s="4" t="n">
        <f aca="false">COUNTIFS('All Comments'!$D:$D,$A14,'All Comments'!$M:$M,"Yes")</f>
        <v>0</v>
      </c>
      <c r="G14" s="4" t="n">
        <f aca="false">D14-COUNTIFS('All Comments'!$D:$D,$A14,'All Comments'!$P:$P,"Done")-COUNTIFS('All Comments'!$D:$D,$A14,'All Comments'!$P:$P,"Will not change")</f>
        <v>1</v>
      </c>
    </row>
    <row r="15" customFormat="false" ht="15" hidden="false" customHeight="false" outlineLevel="0" collapsed="false">
      <c r="A15" s="4" t="s">
        <v>19</v>
      </c>
      <c r="B15" s="4" t="n">
        <f aca="false">COUNTIFS('All Comments'!$D:$D,$A15,'All Comments'!$B:$B,"Reviewer 4")</f>
        <v>2</v>
      </c>
      <c r="C15" s="4" t="n">
        <f aca="false">COUNTIFS('All Comments'!$D:$D,$A15,'All Comments'!$B:$B,"Reviewer 5")</f>
        <v>10</v>
      </c>
      <c r="D15" s="4" t="n">
        <f aca="false">B15+C15</f>
        <v>12</v>
      </c>
      <c r="E15" s="4" t="n">
        <f aca="false">COUNTIFS('All Comments'!$D:$D,$A15,'All Comments'!$G:$G,"Major")</f>
        <v>5</v>
      </c>
      <c r="F15" s="4" t="n">
        <f aca="false">COUNTIFS('All Comments'!$D:$D,$A15,'All Comments'!$M:$M,"Yes")</f>
        <v>12</v>
      </c>
      <c r="G15" s="4" t="n">
        <f aca="false">D15-COUNTIFS('All Comments'!$D:$D,$A15,'All Comments'!$P:$P,"Done")-COUNTIFS('All Comments'!$D:$D,$A15,'All Comments'!$P:$P,"Will not change")</f>
        <v>12</v>
      </c>
    </row>
    <row r="16" customFormat="false" ht="15" hidden="false" customHeight="false" outlineLevel="0" collapsed="false">
      <c r="A16" s="5" t="s">
        <v>5</v>
      </c>
      <c r="B16" s="5" t="n">
        <f aca="false">SUM(B5:B15)</f>
        <v>10</v>
      </c>
      <c r="C16" s="5" t="n">
        <f aca="false">SUM(C5:C15)</f>
        <v>35</v>
      </c>
      <c r="D16" s="5" t="n">
        <f aca="false">SUM(D5:D15)</f>
        <v>45</v>
      </c>
      <c r="E16" s="5" t="n">
        <f aca="false">SUM(E5:E15)</f>
        <v>26</v>
      </c>
      <c r="F16" s="5" t="n">
        <f aca="false">SUM(F5:F15)</f>
        <v>18</v>
      </c>
      <c r="G16" s="5" t="n">
        <f aca="false">SUM(G5:G15)</f>
        <v>45</v>
      </c>
    </row>
    <row r="18" customFormat="false" ht="15" hidden="false" customHeight="false" outlineLevel="0" collapsed="false">
      <c r="A18" s="6" t="s">
        <v>20</v>
      </c>
    </row>
    <row r="19" customFormat="false" ht="15" hidden="false" customHeight="false" outlineLevel="0" collapsed="false">
      <c r="A19" s="7" t="s">
        <v>21</v>
      </c>
      <c r="B19" s="7" t="s">
        <v>3</v>
      </c>
      <c r="C19" s="7" t="s">
        <v>4</v>
      </c>
      <c r="D19" s="7" t="s">
        <v>5</v>
      </c>
      <c r="E19" s="7" t="s">
        <v>6</v>
      </c>
    </row>
    <row r="20" customFormat="false" ht="15" hidden="false" customHeight="false" outlineLevel="0" collapsed="false">
      <c r="A20" s="4" t="s">
        <v>22</v>
      </c>
      <c r="B20" s="4" t="n">
        <f aca="false">COUNTIFS('All Comments'!$F:$F,$A20,'All Comments'!$B:$B,"Reviewer 4")</f>
        <v>1</v>
      </c>
      <c r="C20" s="4" t="n">
        <f aca="false">COUNTIFS('All Comments'!$F:$F,$A20,'All Comments'!$B:$B,"Reviewer 5")</f>
        <v>2</v>
      </c>
      <c r="D20" s="4" t="n">
        <f aca="false">B20+C20</f>
        <v>3</v>
      </c>
      <c r="E20" s="4" t="n">
        <f aca="false">COUNTIFS('All Comments'!$F:$F,$A20,'All Comments'!$G:$G,"Major")</f>
        <v>3</v>
      </c>
    </row>
    <row r="21" customFormat="false" ht="15" hidden="false" customHeight="false" outlineLevel="0" collapsed="false">
      <c r="A21" s="4" t="s">
        <v>23</v>
      </c>
      <c r="B21" s="4" t="n">
        <f aca="false">COUNTIFS('All Comments'!$F:$F,$A21,'All Comments'!$B:$B,"Reviewer 4")</f>
        <v>2</v>
      </c>
      <c r="C21" s="4" t="n">
        <f aca="false">COUNTIFS('All Comments'!$F:$F,$A21,'All Comments'!$B:$B,"Reviewer 5")</f>
        <v>4</v>
      </c>
      <c r="D21" s="4" t="n">
        <f aca="false">B21+C21</f>
        <v>6</v>
      </c>
      <c r="E21" s="4" t="n">
        <f aca="false">COUNTIFS('All Comments'!$F:$F,$A21,'All Comments'!$G:$G,"Major")</f>
        <v>4</v>
      </c>
    </row>
    <row r="22" customFormat="false" ht="15" hidden="false" customHeight="false" outlineLevel="0" collapsed="false">
      <c r="A22" s="4" t="s">
        <v>24</v>
      </c>
      <c r="B22" s="4" t="n">
        <f aca="false">COUNTIFS('All Comments'!$F:$F,$A22,'All Comments'!$B:$B,"Reviewer 4")</f>
        <v>1</v>
      </c>
      <c r="C22" s="4" t="n">
        <f aca="false">COUNTIFS('All Comments'!$F:$F,$A22,'All Comments'!$B:$B,"Reviewer 5")</f>
        <v>3</v>
      </c>
      <c r="D22" s="4" t="n">
        <f aca="false">B22+C22</f>
        <v>4</v>
      </c>
      <c r="E22" s="4" t="n">
        <f aca="false">COUNTIFS('All Comments'!$F:$F,$A22,'All Comments'!$G:$G,"Major")</f>
        <v>0</v>
      </c>
    </row>
    <row r="23" customFormat="false" ht="15" hidden="false" customHeight="false" outlineLevel="0" collapsed="false">
      <c r="A23" s="4" t="s">
        <v>25</v>
      </c>
      <c r="B23" s="4" t="n">
        <f aca="false">COUNTIFS('All Comments'!$F:$F,$A23,'All Comments'!$B:$B,"Reviewer 4")</f>
        <v>1</v>
      </c>
      <c r="C23" s="4" t="n">
        <f aca="false">COUNTIFS('All Comments'!$F:$F,$A23,'All Comments'!$B:$B,"Reviewer 5")</f>
        <v>2</v>
      </c>
      <c r="D23" s="4" t="n">
        <f aca="false">B23+C23</f>
        <v>3</v>
      </c>
      <c r="E23" s="4" t="n">
        <f aca="false">COUNTIFS('All Comments'!$F:$F,$A23,'All Comments'!$G:$G,"Major")</f>
        <v>3</v>
      </c>
    </row>
    <row r="24" customFormat="false" ht="15" hidden="false" customHeight="false" outlineLevel="0" collapsed="false">
      <c r="A24" s="4" t="s">
        <v>26</v>
      </c>
      <c r="B24" s="4" t="n">
        <f aca="false">COUNTIFS('All Comments'!$F:$F,$A24,'All Comments'!$B:$B,"Reviewer 4")</f>
        <v>0</v>
      </c>
      <c r="C24" s="4" t="n">
        <f aca="false">COUNTIFS('All Comments'!$F:$F,$A24,'All Comments'!$B:$B,"Reviewer 5")</f>
        <v>1</v>
      </c>
      <c r="D24" s="4" t="n">
        <f aca="false">B24+C24</f>
        <v>1</v>
      </c>
      <c r="E24" s="4" t="n">
        <f aca="false">COUNTIFS('All Comments'!$F:$F,$A24,'All Comments'!$G:$G,"Major")</f>
        <v>1</v>
      </c>
    </row>
    <row r="25" customFormat="false" ht="15" hidden="false" customHeight="false" outlineLevel="0" collapsed="false">
      <c r="A25" s="4" t="s">
        <v>27</v>
      </c>
      <c r="B25" s="4" t="n">
        <f aca="false">COUNTIFS('All Comments'!$F:$F,$A25,'All Comments'!$B:$B,"Reviewer 4")</f>
        <v>0</v>
      </c>
      <c r="C25" s="4" t="n">
        <f aca="false">COUNTIFS('All Comments'!$F:$F,$A25,'All Comments'!$B:$B,"Reviewer 5")</f>
        <v>2</v>
      </c>
      <c r="D25" s="4" t="n">
        <f aca="false">B25+C25</f>
        <v>2</v>
      </c>
      <c r="E25" s="4" t="n">
        <f aca="false">COUNTIFS('All Comments'!$F:$F,$A25,'All Comments'!$G:$G,"Major")</f>
        <v>0</v>
      </c>
    </row>
    <row r="26" customFormat="false" ht="15" hidden="false" customHeight="false" outlineLevel="0" collapsed="false">
      <c r="A26" s="4" t="s">
        <v>28</v>
      </c>
      <c r="B26" s="4" t="n">
        <f aca="false">COUNTIFS('All Comments'!$F:$F,$A26,'All Comments'!$B:$B,"Reviewer 4")</f>
        <v>0</v>
      </c>
      <c r="C26" s="4" t="n">
        <f aca="false">COUNTIFS('All Comments'!$F:$F,$A26,'All Comments'!$B:$B,"Reviewer 5")</f>
        <v>1</v>
      </c>
      <c r="D26" s="4" t="n">
        <f aca="false">B26+C26</f>
        <v>1</v>
      </c>
      <c r="E26" s="4" t="n">
        <f aca="false">COUNTIFS('All Comments'!$F:$F,$A26,'All Comments'!$G:$G,"Major")</f>
        <v>0</v>
      </c>
    </row>
    <row r="27" customFormat="false" ht="15" hidden="false" customHeight="false" outlineLevel="0" collapsed="false">
      <c r="A27" s="4" t="s">
        <v>29</v>
      </c>
      <c r="B27" s="4" t="n">
        <f aca="false">COUNTIFS('All Comments'!$F:$F,$A27,'All Comments'!$B:$B,"Reviewer 4")</f>
        <v>2</v>
      </c>
      <c r="C27" s="4" t="n">
        <f aca="false">COUNTIFS('All Comments'!$F:$F,$A27,'All Comments'!$B:$B,"Reviewer 5")</f>
        <v>3</v>
      </c>
      <c r="D27" s="4" t="n">
        <f aca="false">B27+C27</f>
        <v>5</v>
      </c>
      <c r="E27" s="4" t="n">
        <f aca="false">COUNTIFS('All Comments'!$F:$F,$A27,'All Comments'!$G:$G,"Major")</f>
        <v>5</v>
      </c>
    </row>
    <row r="28" customFormat="false" ht="15" hidden="false" customHeight="false" outlineLevel="0" collapsed="false">
      <c r="A28" s="4" t="s">
        <v>30</v>
      </c>
      <c r="B28" s="4" t="n">
        <f aca="false">COUNTIFS('All Comments'!$F:$F,$A28,'All Comments'!$B:$B,"Reviewer 4")</f>
        <v>0</v>
      </c>
      <c r="C28" s="4" t="n">
        <f aca="false">COUNTIFS('All Comments'!$F:$F,$A28,'All Comments'!$B:$B,"Reviewer 5")</f>
        <v>2</v>
      </c>
      <c r="D28" s="4" t="n">
        <f aca="false">B28+C28</f>
        <v>2</v>
      </c>
      <c r="E28" s="4" t="n">
        <f aca="false">COUNTIFS('All Comments'!$F:$F,$A28,'All Comments'!$G:$G,"Major")</f>
        <v>1</v>
      </c>
    </row>
    <row r="29" customFormat="false" ht="15" hidden="false" customHeight="false" outlineLevel="0" collapsed="false">
      <c r="A29" s="4" t="s">
        <v>31</v>
      </c>
      <c r="B29" s="4" t="n">
        <f aca="false">COUNTIFS('All Comments'!$F:$F,$A29,'All Comments'!$B:$B,"Reviewer 4")</f>
        <v>0</v>
      </c>
      <c r="C29" s="4" t="n">
        <f aca="false">COUNTIFS('All Comments'!$F:$F,$A29,'All Comments'!$B:$B,"Reviewer 5")</f>
        <v>4</v>
      </c>
      <c r="D29" s="4" t="n">
        <f aca="false">B29+C29</f>
        <v>4</v>
      </c>
      <c r="E29" s="4" t="n">
        <f aca="false">COUNTIFS('All Comments'!$F:$F,$A29,'All Comments'!$G:$G,"Major")</f>
        <v>3</v>
      </c>
    </row>
    <row r="30" customFormat="false" ht="15" hidden="false" customHeight="false" outlineLevel="0" collapsed="false">
      <c r="A30" s="4" t="s">
        <v>32</v>
      </c>
      <c r="B30" s="4" t="n">
        <f aca="false">COUNTIFS('All Comments'!$F:$F,$A30,'All Comments'!$B:$B,"Reviewer 4")</f>
        <v>0</v>
      </c>
      <c r="C30" s="4" t="n">
        <f aca="false">COUNTIFS('All Comments'!$F:$F,$A30,'All Comments'!$B:$B,"Reviewer 5")</f>
        <v>3</v>
      </c>
      <c r="D30" s="4" t="n">
        <f aca="false">B30+C30</f>
        <v>3</v>
      </c>
      <c r="E30" s="4" t="n">
        <f aca="false">COUNTIFS('All Comments'!$F:$F,$A30,'All Comments'!$G:$G,"Major")</f>
        <v>3</v>
      </c>
    </row>
    <row r="31" customFormat="false" ht="15" hidden="false" customHeight="false" outlineLevel="0" collapsed="false">
      <c r="A31" s="4" t="s">
        <v>33</v>
      </c>
      <c r="B31" s="4" t="n">
        <f aca="false">COUNTIFS('All Comments'!$F:$F,$A31,'All Comments'!$B:$B,"Reviewer 4")</f>
        <v>1</v>
      </c>
      <c r="C31" s="4" t="n">
        <f aca="false">COUNTIFS('All Comments'!$F:$F,$A31,'All Comments'!$B:$B,"Reviewer 5")</f>
        <v>1</v>
      </c>
      <c r="D31" s="4" t="n">
        <f aca="false">B31+C31</f>
        <v>2</v>
      </c>
      <c r="E31" s="4" t="n">
        <f aca="false">COUNTIFS('All Comments'!$F:$F,$A31,'All Comments'!$G:$G,"Major")</f>
        <v>0</v>
      </c>
    </row>
    <row r="32" customFormat="false" ht="15" hidden="false" customHeight="false" outlineLevel="0" collapsed="false">
      <c r="A32" s="4" t="s">
        <v>34</v>
      </c>
      <c r="B32" s="4" t="n">
        <f aca="false">COUNTIFS('All Comments'!$F:$F,$A32,'All Comments'!$B:$B,"Reviewer 4")</f>
        <v>0</v>
      </c>
      <c r="C32" s="4" t="n">
        <f aca="false">COUNTIFS('All Comments'!$F:$F,$A32,'All Comments'!$B:$B,"Reviewer 5")</f>
        <v>3</v>
      </c>
      <c r="D32" s="4" t="n">
        <f aca="false">B32+C32</f>
        <v>3</v>
      </c>
      <c r="E32" s="4" t="n">
        <f aca="false">COUNTIFS('All Comments'!$F:$F,$A32,'All Comments'!$G:$G,"Major")</f>
        <v>2</v>
      </c>
    </row>
    <row r="33" customFormat="false" ht="15" hidden="false" customHeight="false" outlineLevel="0" collapsed="false">
      <c r="A33" s="4" t="s">
        <v>35</v>
      </c>
      <c r="B33" s="4" t="n">
        <f aca="false">COUNTIFS('All Comments'!$F:$F,$A33,'All Comments'!$B:$B,"Reviewer 4")</f>
        <v>2</v>
      </c>
      <c r="C33" s="4" t="n">
        <f aca="false">COUNTIFS('All Comments'!$F:$F,$A33,'All Comments'!$B:$B,"Reviewer 5")</f>
        <v>1</v>
      </c>
      <c r="D33" s="4" t="n">
        <f aca="false">B33+C33</f>
        <v>3</v>
      </c>
      <c r="E33" s="4" t="n">
        <f aca="false">COUNTIFS('All Comments'!$F:$F,$A33,'All Comments'!$G:$G,"Major")</f>
        <v>0</v>
      </c>
    </row>
    <row r="34" customFormat="false" ht="15" hidden="false" customHeight="false" outlineLevel="0" collapsed="false">
      <c r="A34" s="4" t="s">
        <v>36</v>
      </c>
      <c r="B34" s="4" t="n">
        <f aca="false">COUNTIFS('All Comments'!$F:$F,$A34,'All Comments'!$B:$B,"Reviewer 4")</f>
        <v>0</v>
      </c>
      <c r="C34" s="4" t="n">
        <f aca="false">COUNTIFS('All Comments'!$F:$F,$A34,'All Comments'!$B:$B,"Reviewer 5")</f>
        <v>1</v>
      </c>
      <c r="D34" s="4" t="n">
        <f aca="false">B34+C34</f>
        <v>1</v>
      </c>
      <c r="E34" s="4" t="n">
        <f aca="false">COUNTIFS('All Comments'!$F:$F,$A34,'All Comments'!$G:$G,"Major")</f>
        <v>1</v>
      </c>
    </row>
    <row r="35" customFormat="false" ht="15" hidden="false" customHeight="false" outlineLevel="0" collapsed="false">
      <c r="A35" s="4" t="s">
        <v>37</v>
      </c>
      <c r="B35" s="4" t="n">
        <f aca="false">COUNTIFS('All Comments'!$F:$F,$A35,'All Comments'!$B:$B,"Reviewer 4")</f>
        <v>0</v>
      </c>
      <c r="C35" s="4" t="n">
        <f aca="false">COUNTIFS('All Comments'!$F:$F,$A35,'All Comments'!$B:$B,"Reviewer 5")</f>
        <v>1</v>
      </c>
      <c r="D35" s="4" t="n">
        <f aca="false">B35+C35</f>
        <v>1</v>
      </c>
      <c r="E35" s="4" t="n">
        <f aca="false">COUNTIFS('All Comments'!$F:$F,$A35,'All Comments'!$G:$G,"Major")</f>
        <v>0</v>
      </c>
    </row>
    <row r="36" customFormat="false" ht="15" hidden="false" customHeight="false" outlineLevel="0" collapsed="false">
      <c r="A36" s="4" t="s">
        <v>38</v>
      </c>
      <c r="B36" s="4" t="n">
        <f aca="false">COUNTIFS('All Comments'!$F:$F,$A36,'All Comments'!$B:$B,"Reviewer 4")</f>
        <v>0</v>
      </c>
      <c r="C36" s="4" t="n">
        <f aca="false">COUNTIFS('All Comments'!$F:$F,$A36,'All Comments'!$B:$B,"Reviewer 5")</f>
        <v>1</v>
      </c>
      <c r="D36" s="4" t="n">
        <f aca="false">B36+C36</f>
        <v>1</v>
      </c>
      <c r="E36" s="4" t="n">
        <f aca="false">COUNTIFS('All Comments'!$F:$F,$A36,'All Comments'!$G:$G,"Major")</f>
        <v>0</v>
      </c>
    </row>
    <row r="38" customFormat="false" ht="15" hidden="false" customHeight="false" outlineLevel="0" collapsed="false">
      <c r="A38" s="6" t="s">
        <v>39</v>
      </c>
    </row>
    <row r="39" customFormat="false" ht="15" hidden="false" customHeight="false" outlineLevel="0" collapsed="false">
      <c r="A39" s="7" t="s">
        <v>40</v>
      </c>
      <c r="B39" s="7" t="s">
        <v>41</v>
      </c>
    </row>
    <row r="40" customFormat="false" ht="27.75" hidden="false" customHeight="true" outlineLevel="0" collapsed="false">
      <c r="A40" s="8" t="s">
        <v>3</v>
      </c>
      <c r="B40" s="9" t="s">
        <v>42</v>
      </c>
      <c r="C40" s="9"/>
      <c r="D40" s="9"/>
      <c r="E40" s="9"/>
      <c r="F40" s="9"/>
      <c r="G40" s="9"/>
    </row>
    <row r="41" customFormat="false" ht="27.75" hidden="false" customHeight="true" outlineLevel="0" collapsed="false">
      <c r="A41" s="8" t="s">
        <v>4</v>
      </c>
      <c r="B41" s="9" t="s">
        <v>43</v>
      </c>
      <c r="C41" s="9"/>
      <c r="D41" s="9"/>
      <c r="E41" s="9"/>
      <c r="F41" s="9"/>
      <c r="G41" s="9"/>
    </row>
    <row r="43" customFormat="false" ht="15" hidden="false" customHeight="false" outlineLevel="0" collapsed="false">
      <c r="A43" s="6" t="s">
        <v>44</v>
      </c>
    </row>
    <row r="44" customFormat="false" ht="15" hidden="false" customHeight="false" outlineLevel="0" collapsed="false">
      <c r="A44" s="7" t="s">
        <v>45</v>
      </c>
      <c r="B44" s="7" t="s">
        <v>46</v>
      </c>
      <c r="C44" s="7" t="s">
        <v>47</v>
      </c>
    </row>
    <row r="45" customFormat="false" ht="15" hidden="false" customHeight="false" outlineLevel="0" collapsed="false">
      <c r="A45" s="10" t="s">
        <v>48</v>
      </c>
      <c r="B45" s="10" t="s">
        <v>49</v>
      </c>
      <c r="C45" s="10" t="s">
        <v>50</v>
      </c>
    </row>
    <row r="46" customFormat="false" ht="15" hidden="false" customHeight="false" outlineLevel="0" collapsed="false">
      <c r="A46" s="10" t="s">
        <v>51</v>
      </c>
      <c r="B46" s="10" t="s">
        <v>52</v>
      </c>
      <c r="C46" s="10" t="s">
        <v>53</v>
      </c>
    </row>
    <row r="47" customFormat="false" ht="15" hidden="false" customHeight="false" outlineLevel="0" collapsed="false">
      <c r="A47" s="10" t="s">
        <v>54</v>
      </c>
      <c r="B47" s="10" t="s">
        <v>55</v>
      </c>
      <c r="C47" s="10" t="s">
        <v>56</v>
      </c>
    </row>
  </sheetData>
  <mergeCells count="2">
    <mergeCell ref="B40:G40"/>
    <mergeCell ref="B41:G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1"/>
    <col collapsed="false" customWidth="true" hidden="false" outlineLevel="0" max="3" min="3" style="0" width="12"/>
    <col collapsed="false" customWidth="true" hidden="false" outlineLevel="0" max="4" min="4" style="0" width="22"/>
    <col collapsed="false" customWidth="true" hidden="false" outlineLevel="0" max="5" min="5" style="0" width="28"/>
    <col collapsed="false" customWidth="true" hidden="false" outlineLevel="0" max="6" min="6" style="0" width="18"/>
    <col collapsed="false" customWidth="true" hidden="false" outlineLevel="0" max="7" min="7" style="0" width="9"/>
    <col collapsed="false" customWidth="true" hidden="false" outlineLevel="0" max="8" min="8" style="0" width="45"/>
    <col collapsed="false" customWidth="true" hidden="false" outlineLevel="0" max="9" min="9" style="0" width="70"/>
    <col collapsed="false" customWidth="true" hidden="false" outlineLevel="0" max="10" min="10" style="0" width="40"/>
    <col collapsed="false" customWidth="true" hidden="false" outlineLevel="0" max="11" min="11" style="0" width="14"/>
    <col collapsed="false" customWidth="true" hidden="false" outlineLevel="0" max="12" min="12" style="0" width="40"/>
    <col collapsed="false" customWidth="true" hidden="false" outlineLevel="0" max="13" min="13" style="0" width="11"/>
    <col collapsed="false" customWidth="true" hidden="false" outlineLevel="0" max="14" min="14" style="0" width="30"/>
    <col collapsed="false" customWidth="true" hidden="false" outlineLevel="0" max="15" min="15" style="0" width="40"/>
    <col collapsed="false" customWidth="true" hidden="false" outlineLevel="0" max="16" min="16" style="0" width="13"/>
  </cols>
  <sheetData>
    <row r="1" customFormat="false" ht="35.05" hidden="false" customHeight="false" outlineLevel="0" collapsed="false">
      <c r="A1" s="11" t="s">
        <v>57</v>
      </c>
      <c r="B1" s="11" t="s">
        <v>40</v>
      </c>
      <c r="C1" s="11" t="s">
        <v>58</v>
      </c>
      <c r="D1" s="11" t="s">
        <v>2</v>
      </c>
      <c r="E1" s="11" t="s">
        <v>59</v>
      </c>
      <c r="F1" s="11" t="s">
        <v>21</v>
      </c>
      <c r="G1" s="11" t="s">
        <v>60</v>
      </c>
      <c r="H1" s="11" t="s">
        <v>61</v>
      </c>
      <c r="I1" s="11" t="s">
        <v>62</v>
      </c>
      <c r="J1" s="11" t="s">
        <v>63</v>
      </c>
      <c r="K1" s="11" t="s">
        <v>64</v>
      </c>
      <c r="L1" s="11" t="s">
        <v>65</v>
      </c>
      <c r="M1" s="11" t="s">
        <v>66</v>
      </c>
      <c r="N1" s="11" t="s">
        <v>67</v>
      </c>
      <c r="O1" s="11" t="s">
        <v>68</v>
      </c>
      <c r="P1" s="11" t="s">
        <v>69</v>
      </c>
    </row>
    <row r="2" customFormat="false" ht="68.65" hidden="false" customHeight="false" outlineLevel="0" collapsed="false">
      <c r="A2" s="10" t="s">
        <v>70</v>
      </c>
      <c r="B2" s="10" t="s">
        <v>3</v>
      </c>
      <c r="C2" s="10" t="s">
        <v>71</v>
      </c>
      <c r="D2" s="10" t="s">
        <v>15</v>
      </c>
      <c r="E2" s="10" t="s">
        <v>72</v>
      </c>
      <c r="F2" s="10" t="s">
        <v>22</v>
      </c>
      <c r="G2" s="10" t="s">
        <v>6</v>
      </c>
      <c r="H2" s="10" t="s">
        <v>73</v>
      </c>
      <c r="I2" s="10" t="s">
        <v>74</v>
      </c>
      <c r="J2" s="10" t="s">
        <v>75</v>
      </c>
      <c r="K2" s="10" t="s">
        <v>76</v>
      </c>
      <c r="L2" s="10" t="s">
        <v>77</v>
      </c>
      <c r="M2" s="10" t="s">
        <v>78</v>
      </c>
      <c r="N2" s="10"/>
      <c r="O2" s="12"/>
      <c r="P2" s="12" t="s">
        <v>79</v>
      </c>
    </row>
    <row r="3" customFormat="false" ht="35.05" hidden="false" customHeight="false" outlineLevel="0" collapsed="false">
      <c r="A3" s="10" t="s">
        <v>80</v>
      </c>
      <c r="B3" s="10" t="s">
        <v>3</v>
      </c>
      <c r="C3" s="10" t="s">
        <v>81</v>
      </c>
      <c r="D3" s="10" t="s">
        <v>15</v>
      </c>
      <c r="E3" s="10" t="s">
        <v>82</v>
      </c>
      <c r="F3" s="10" t="s">
        <v>29</v>
      </c>
      <c r="G3" s="10" t="s">
        <v>6</v>
      </c>
      <c r="H3" s="10" t="s">
        <v>83</v>
      </c>
      <c r="I3" s="10" t="s">
        <v>84</v>
      </c>
      <c r="J3" s="10" t="s">
        <v>85</v>
      </c>
      <c r="K3" s="10" t="s">
        <v>86</v>
      </c>
      <c r="L3" s="10" t="s">
        <v>87</v>
      </c>
      <c r="M3" s="10" t="s">
        <v>78</v>
      </c>
      <c r="N3" s="10"/>
      <c r="O3" s="12"/>
      <c r="P3" s="12" t="s">
        <v>79</v>
      </c>
    </row>
    <row r="4" customFormat="false" ht="113.4" hidden="false" customHeight="false" outlineLevel="0" collapsed="false">
      <c r="A4" s="10" t="s">
        <v>88</v>
      </c>
      <c r="B4" s="10" t="s">
        <v>3</v>
      </c>
      <c r="C4" s="10" t="s">
        <v>89</v>
      </c>
      <c r="D4" s="10" t="s">
        <v>15</v>
      </c>
      <c r="E4" s="10" t="s">
        <v>90</v>
      </c>
      <c r="F4" s="10" t="s">
        <v>29</v>
      </c>
      <c r="G4" s="10" t="s">
        <v>6</v>
      </c>
      <c r="H4" s="10" t="s">
        <v>91</v>
      </c>
      <c r="I4" s="10" t="s">
        <v>92</v>
      </c>
      <c r="J4" s="10" t="s">
        <v>93</v>
      </c>
      <c r="K4" s="10" t="s">
        <v>94</v>
      </c>
      <c r="L4" s="10" t="s">
        <v>95</v>
      </c>
      <c r="M4" s="10" t="s">
        <v>96</v>
      </c>
      <c r="N4" s="10" t="s">
        <v>97</v>
      </c>
      <c r="O4" s="12"/>
      <c r="P4" s="12" t="s">
        <v>79</v>
      </c>
    </row>
    <row r="5" customFormat="false" ht="46.25" hidden="false" customHeight="false" outlineLevel="0" collapsed="false">
      <c r="A5" s="10" t="s">
        <v>98</v>
      </c>
      <c r="B5" s="10" t="s">
        <v>3</v>
      </c>
      <c r="C5" s="10" t="s">
        <v>99</v>
      </c>
      <c r="D5" s="10" t="s">
        <v>16</v>
      </c>
      <c r="E5" s="10" t="s">
        <v>100</v>
      </c>
      <c r="F5" s="10" t="s">
        <v>23</v>
      </c>
      <c r="G5" s="10" t="s">
        <v>6</v>
      </c>
      <c r="H5" s="10" t="s">
        <v>101</v>
      </c>
      <c r="I5" s="10" t="s">
        <v>102</v>
      </c>
      <c r="J5" s="10" t="s">
        <v>103</v>
      </c>
      <c r="K5" s="10" t="s">
        <v>104</v>
      </c>
      <c r="L5" s="10" t="s">
        <v>105</v>
      </c>
      <c r="M5" s="10" t="s">
        <v>106</v>
      </c>
      <c r="N5" s="10" t="s">
        <v>107</v>
      </c>
      <c r="O5" s="12"/>
      <c r="P5" s="12" t="s">
        <v>79</v>
      </c>
    </row>
    <row r="6" customFormat="false" ht="23.85" hidden="false" customHeight="false" outlineLevel="0" collapsed="false">
      <c r="A6" s="10" t="s">
        <v>108</v>
      </c>
      <c r="B6" s="10" t="s">
        <v>3</v>
      </c>
      <c r="C6" s="10" t="s">
        <v>109</v>
      </c>
      <c r="D6" s="10" t="s">
        <v>12</v>
      </c>
      <c r="E6" s="10" t="s">
        <v>110</v>
      </c>
      <c r="F6" s="10" t="s">
        <v>33</v>
      </c>
      <c r="G6" s="10" t="s">
        <v>111</v>
      </c>
      <c r="H6" s="10" t="s">
        <v>112</v>
      </c>
      <c r="I6" s="10" t="s">
        <v>113</v>
      </c>
      <c r="J6" s="10" t="s">
        <v>114</v>
      </c>
      <c r="K6" s="10" t="s">
        <v>115</v>
      </c>
      <c r="L6" s="10" t="s">
        <v>116</v>
      </c>
      <c r="M6" s="10" t="s">
        <v>106</v>
      </c>
      <c r="N6" s="10" t="s">
        <v>117</v>
      </c>
      <c r="O6" s="12"/>
      <c r="P6" s="12" t="s">
        <v>79</v>
      </c>
    </row>
    <row r="7" customFormat="false" ht="35.05" hidden="false" customHeight="false" outlineLevel="0" collapsed="false">
      <c r="A7" s="10" t="s">
        <v>118</v>
      </c>
      <c r="B7" s="10" t="s">
        <v>3</v>
      </c>
      <c r="C7" s="10" t="s">
        <v>119</v>
      </c>
      <c r="D7" s="10" t="s">
        <v>19</v>
      </c>
      <c r="E7" s="10" t="s">
        <v>120</v>
      </c>
      <c r="F7" s="10" t="s">
        <v>23</v>
      </c>
      <c r="G7" s="10" t="s">
        <v>111</v>
      </c>
      <c r="H7" s="10" t="s">
        <v>121</v>
      </c>
      <c r="I7" s="10" t="s">
        <v>122</v>
      </c>
      <c r="J7" s="10" t="s">
        <v>123</v>
      </c>
      <c r="K7" s="10"/>
      <c r="L7" s="10" t="s">
        <v>124</v>
      </c>
      <c r="M7" s="10" t="s">
        <v>106</v>
      </c>
      <c r="N7" s="10" t="s">
        <v>107</v>
      </c>
      <c r="O7" s="12"/>
      <c r="P7" s="12" t="s">
        <v>79</v>
      </c>
    </row>
    <row r="8" customFormat="false" ht="23.85" hidden="false" customHeight="false" outlineLevel="0" collapsed="false">
      <c r="A8" s="10" t="s">
        <v>125</v>
      </c>
      <c r="B8" s="10" t="s">
        <v>3</v>
      </c>
      <c r="C8" s="10" t="s">
        <v>126</v>
      </c>
      <c r="D8" s="10" t="s">
        <v>19</v>
      </c>
      <c r="E8" s="10" t="s">
        <v>127</v>
      </c>
      <c r="F8" s="10" t="s">
        <v>24</v>
      </c>
      <c r="G8" s="10" t="s">
        <v>111</v>
      </c>
      <c r="H8" s="10" t="s">
        <v>128</v>
      </c>
      <c r="I8" s="10" t="s">
        <v>129</v>
      </c>
      <c r="J8" s="10" t="s">
        <v>130</v>
      </c>
      <c r="K8" s="10" t="s">
        <v>131</v>
      </c>
      <c r="L8" s="10" t="s">
        <v>132</v>
      </c>
      <c r="M8" s="10" t="s">
        <v>106</v>
      </c>
      <c r="N8" s="10" t="s">
        <v>107</v>
      </c>
      <c r="O8" s="12"/>
      <c r="P8" s="12" t="s">
        <v>79</v>
      </c>
    </row>
    <row r="9" customFormat="false" ht="23.85" hidden="false" customHeight="false" outlineLevel="0" collapsed="false">
      <c r="A9" s="10" t="s">
        <v>133</v>
      </c>
      <c r="B9" s="10" t="s">
        <v>3</v>
      </c>
      <c r="C9" s="10" t="s">
        <v>134</v>
      </c>
      <c r="D9" s="10" t="s">
        <v>13</v>
      </c>
      <c r="E9" s="10" t="s">
        <v>135</v>
      </c>
      <c r="F9" s="10" t="s">
        <v>35</v>
      </c>
      <c r="G9" s="10" t="s">
        <v>111</v>
      </c>
      <c r="H9" s="10" t="s">
        <v>136</v>
      </c>
      <c r="I9" s="10" t="s">
        <v>137</v>
      </c>
      <c r="J9" s="10" t="s">
        <v>138</v>
      </c>
      <c r="K9" s="10" t="s">
        <v>139</v>
      </c>
      <c r="L9" s="10" t="s">
        <v>140</v>
      </c>
      <c r="M9" s="10" t="s">
        <v>78</v>
      </c>
      <c r="N9" s="10"/>
      <c r="O9" s="12"/>
      <c r="P9" s="12" t="s">
        <v>79</v>
      </c>
    </row>
    <row r="10" customFormat="false" ht="23.85" hidden="false" customHeight="false" outlineLevel="0" collapsed="false">
      <c r="A10" s="10" t="s">
        <v>141</v>
      </c>
      <c r="B10" s="10" t="s">
        <v>3</v>
      </c>
      <c r="C10" s="10" t="s">
        <v>142</v>
      </c>
      <c r="D10" s="10" t="s">
        <v>15</v>
      </c>
      <c r="E10" s="10" t="s">
        <v>143</v>
      </c>
      <c r="F10" s="10" t="s">
        <v>35</v>
      </c>
      <c r="G10" s="10" t="s">
        <v>111</v>
      </c>
      <c r="H10" s="10" t="s">
        <v>144</v>
      </c>
      <c r="I10" s="10" t="s">
        <v>145</v>
      </c>
      <c r="J10" s="10" t="s">
        <v>146</v>
      </c>
      <c r="K10" s="10" t="s">
        <v>86</v>
      </c>
      <c r="L10" s="10" t="s">
        <v>147</v>
      </c>
      <c r="M10" s="10" t="s">
        <v>96</v>
      </c>
      <c r="N10" s="10" t="s">
        <v>148</v>
      </c>
      <c r="O10" s="12"/>
      <c r="P10" s="12" t="s">
        <v>79</v>
      </c>
    </row>
    <row r="11" customFormat="false" ht="628.35" hidden="false" customHeight="false" outlineLevel="0" collapsed="false">
      <c r="A11" s="10" t="s">
        <v>149</v>
      </c>
      <c r="B11" s="10" t="s">
        <v>3</v>
      </c>
      <c r="C11" s="10" t="s">
        <v>150</v>
      </c>
      <c r="D11" s="10" t="s">
        <v>9</v>
      </c>
      <c r="E11" s="10" t="s">
        <v>9</v>
      </c>
      <c r="F11" s="10" t="s">
        <v>25</v>
      </c>
      <c r="G11" s="10" t="s">
        <v>6</v>
      </c>
      <c r="H11" s="10" t="s">
        <v>151</v>
      </c>
      <c r="I11" s="10" t="s">
        <v>152</v>
      </c>
      <c r="J11" s="10" t="s">
        <v>153</v>
      </c>
      <c r="K11" s="10" t="s">
        <v>154</v>
      </c>
      <c r="L11" s="10" t="s">
        <v>155</v>
      </c>
      <c r="M11" s="10" t="s">
        <v>78</v>
      </c>
      <c r="N11" s="10"/>
      <c r="O11" s="12"/>
      <c r="P11" s="12" t="s">
        <v>79</v>
      </c>
    </row>
    <row r="12" customFormat="false" ht="236.55" hidden="false" customHeight="false" outlineLevel="0" collapsed="false">
      <c r="A12" s="10" t="s">
        <v>156</v>
      </c>
      <c r="B12" s="10" t="s">
        <v>4</v>
      </c>
      <c r="C12" s="10" t="s">
        <v>157</v>
      </c>
      <c r="D12" s="10" t="s">
        <v>9</v>
      </c>
      <c r="E12" s="10" t="s">
        <v>9</v>
      </c>
      <c r="F12" s="10" t="s">
        <v>25</v>
      </c>
      <c r="G12" s="10" t="s">
        <v>6</v>
      </c>
      <c r="H12" s="10" t="s">
        <v>158</v>
      </c>
      <c r="I12" s="10" t="s">
        <v>159</v>
      </c>
      <c r="J12" s="10" t="s">
        <v>160</v>
      </c>
      <c r="K12" s="10" t="s">
        <v>149</v>
      </c>
      <c r="L12" s="10" t="s">
        <v>161</v>
      </c>
      <c r="M12" s="10" t="s">
        <v>78</v>
      </c>
      <c r="N12" s="10"/>
      <c r="O12" s="12"/>
      <c r="P12" s="12" t="s">
        <v>79</v>
      </c>
    </row>
    <row r="13" customFormat="false" ht="158.2" hidden="false" customHeight="false" outlineLevel="0" collapsed="false">
      <c r="A13" s="10" t="s">
        <v>162</v>
      </c>
      <c r="B13" s="10" t="s">
        <v>4</v>
      </c>
      <c r="C13" s="10" t="s">
        <v>163</v>
      </c>
      <c r="D13" s="10" t="s">
        <v>14</v>
      </c>
      <c r="E13" s="10" t="s">
        <v>164</v>
      </c>
      <c r="F13" s="10" t="s">
        <v>32</v>
      </c>
      <c r="G13" s="10" t="s">
        <v>6</v>
      </c>
      <c r="H13" s="10" t="s">
        <v>165</v>
      </c>
      <c r="I13" s="10" t="s">
        <v>166</v>
      </c>
      <c r="J13" s="10" t="s">
        <v>167</v>
      </c>
      <c r="K13" s="10" t="s">
        <v>88</v>
      </c>
      <c r="L13" s="10" t="s">
        <v>168</v>
      </c>
      <c r="M13" s="10" t="s">
        <v>96</v>
      </c>
      <c r="N13" s="10" t="s">
        <v>169</v>
      </c>
      <c r="O13" s="12"/>
      <c r="P13" s="12" t="s">
        <v>79</v>
      </c>
    </row>
    <row r="14" customFormat="false" ht="68.65" hidden="false" customHeight="false" outlineLevel="0" collapsed="false">
      <c r="A14" s="10" t="s">
        <v>170</v>
      </c>
      <c r="B14" s="10" t="s">
        <v>4</v>
      </c>
      <c r="C14" s="10" t="s">
        <v>163</v>
      </c>
      <c r="D14" s="10" t="s">
        <v>11</v>
      </c>
      <c r="E14" s="10" t="s">
        <v>171</v>
      </c>
      <c r="F14" s="10" t="s">
        <v>32</v>
      </c>
      <c r="G14" s="10" t="s">
        <v>6</v>
      </c>
      <c r="H14" s="10" t="s">
        <v>172</v>
      </c>
      <c r="I14" s="10" t="s">
        <v>173</v>
      </c>
      <c r="J14" s="10" t="s">
        <v>174</v>
      </c>
      <c r="K14" s="10" t="s">
        <v>175</v>
      </c>
      <c r="L14" s="10" t="s">
        <v>176</v>
      </c>
      <c r="M14" s="10" t="s">
        <v>96</v>
      </c>
      <c r="N14" s="10" t="s">
        <v>177</v>
      </c>
      <c r="O14" s="12"/>
      <c r="P14" s="12" t="s">
        <v>79</v>
      </c>
    </row>
    <row r="15" customFormat="false" ht="57.45" hidden="false" customHeight="false" outlineLevel="0" collapsed="false">
      <c r="A15" s="10" t="s">
        <v>178</v>
      </c>
      <c r="B15" s="10" t="s">
        <v>4</v>
      </c>
      <c r="C15" s="10" t="s">
        <v>163</v>
      </c>
      <c r="D15" s="10" t="s">
        <v>14</v>
      </c>
      <c r="E15" s="10" t="s">
        <v>179</v>
      </c>
      <c r="F15" s="10" t="s">
        <v>32</v>
      </c>
      <c r="G15" s="10" t="s">
        <v>6</v>
      </c>
      <c r="H15" s="10" t="s">
        <v>180</v>
      </c>
      <c r="I15" s="10" t="s">
        <v>181</v>
      </c>
      <c r="J15" s="10" t="s">
        <v>182</v>
      </c>
      <c r="K15" s="10" t="s">
        <v>88</v>
      </c>
      <c r="L15" s="10" t="s">
        <v>183</v>
      </c>
      <c r="M15" s="10" t="s">
        <v>78</v>
      </c>
      <c r="N15" s="10"/>
      <c r="O15" s="12"/>
      <c r="P15" s="12" t="s">
        <v>79</v>
      </c>
    </row>
    <row r="16" customFormat="false" ht="147" hidden="false" customHeight="false" outlineLevel="0" collapsed="false">
      <c r="A16" s="10" t="s">
        <v>184</v>
      </c>
      <c r="B16" s="10" t="s">
        <v>4</v>
      </c>
      <c r="C16" s="10" t="s">
        <v>185</v>
      </c>
      <c r="D16" s="10" t="s">
        <v>15</v>
      </c>
      <c r="E16" s="10" t="s">
        <v>186</v>
      </c>
      <c r="F16" s="10" t="s">
        <v>29</v>
      </c>
      <c r="G16" s="10" t="s">
        <v>6</v>
      </c>
      <c r="H16" s="10" t="s">
        <v>187</v>
      </c>
      <c r="I16" s="10" t="s">
        <v>188</v>
      </c>
      <c r="J16" s="10" t="s">
        <v>189</v>
      </c>
      <c r="K16" s="10" t="s">
        <v>88</v>
      </c>
      <c r="L16" s="10" t="s">
        <v>161</v>
      </c>
      <c r="M16" s="10" t="s">
        <v>78</v>
      </c>
      <c r="N16" s="10"/>
      <c r="O16" s="12"/>
      <c r="P16" s="12" t="s">
        <v>79</v>
      </c>
    </row>
    <row r="17" customFormat="false" ht="158.2" hidden="false" customHeight="false" outlineLevel="0" collapsed="false">
      <c r="A17" s="10" t="s">
        <v>190</v>
      </c>
      <c r="B17" s="10" t="s">
        <v>4</v>
      </c>
      <c r="C17" s="10" t="s">
        <v>185</v>
      </c>
      <c r="D17" s="10" t="s">
        <v>14</v>
      </c>
      <c r="E17" s="10" t="s">
        <v>186</v>
      </c>
      <c r="F17" s="10" t="s">
        <v>31</v>
      </c>
      <c r="G17" s="10" t="s">
        <v>6</v>
      </c>
      <c r="H17" s="10" t="s">
        <v>191</v>
      </c>
      <c r="I17" s="10" t="s">
        <v>192</v>
      </c>
      <c r="J17" s="10" t="s">
        <v>193</v>
      </c>
      <c r="K17" s="10" t="s">
        <v>194</v>
      </c>
      <c r="L17" s="10" t="s">
        <v>161</v>
      </c>
      <c r="M17" s="10" t="s">
        <v>78</v>
      </c>
      <c r="N17" s="10"/>
      <c r="O17" s="12"/>
      <c r="P17" s="12" t="s">
        <v>79</v>
      </c>
    </row>
    <row r="18" customFormat="false" ht="57.45" hidden="false" customHeight="false" outlineLevel="0" collapsed="false">
      <c r="A18" s="10" t="s">
        <v>195</v>
      </c>
      <c r="B18" s="10" t="s">
        <v>4</v>
      </c>
      <c r="C18" s="10" t="s">
        <v>185</v>
      </c>
      <c r="D18" s="10" t="s">
        <v>15</v>
      </c>
      <c r="E18" s="10" t="s">
        <v>196</v>
      </c>
      <c r="F18" s="10" t="s">
        <v>29</v>
      </c>
      <c r="G18" s="10" t="s">
        <v>6</v>
      </c>
      <c r="H18" s="10" t="s">
        <v>197</v>
      </c>
      <c r="I18" s="10" t="s">
        <v>198</v>
      </c>
      <c r="J18" s="10" t="s">
        <v>199</v>
      </c>
      <c r="K18" s="10" t="s">
        <v>200</v>
      </c>
      <c r="L18" s="10" t="s">
        <v>201</v>
      </c>
      <c r="M18" s="10" t="s">
        <v>106</v>
      </c>
      <c r="N18" s="10" t="s">
        <v>202</v>
      </c>
      <c r="O18" s="12"/>
      <c r="P18" s="12" t="s">
        <v>79</v>
      </c>
    </row>
    <row r="19" customFormat="false" ht="57.45" hidden="false" customHeight="false" outlineLevel="0" collapsed="false">
      <c r="A19" s="10" t="s">
        <v>203</v>
      </c>
      <c r="B19" s="10" t="s">
        <v>4</v>
      </c>
      <c r="C19" s="10" t="s">
        <v>185</v>
      </c>
      <c r="D19" s="10" t="s">
        <v>15</v>
      </c>
      <c r="E19" s="10" t="s">
        <v>204</v>
      </c>
      <c r="F19" s="10" t="s">
        <v>36</v>
      </c>
      <c r="G19" s="10" t="s">
        <v>6</v>
      </c>
      <c r="H19" s="10" t="s">
        <v>205</v>
      </c>
      <c r="I19" s="10" t="s">
        <v>206</v>
      </c>
      <c r="J19" s="10" t="s">
        <v>207</v>
      </c>
      <c r="K19" s="10"/>
      <c r="L19" s="10" t="s">
        <v>208</v>
      </c>
      <c r="M19" s="10" t="s">
        <v>78</v>
      </c>
      <c r="N19" s="10"/>
      <c r="O19" s="12"/>
      <c r="P19" s="12" t="s">
        <v>79</v>
      </c>
    </row>
    <row r="20" customFormat="false" ht="46.25" hidden="false" customHeight="false" outlineLevel="0" collapsed="false">
      <c r="A20" s="10" t="s">
        <v>86</v>
      </c>
      <c r="B20" s="10" t="s">
        <v>4</v>
      </c>
      <c r="C20" s="10" t="s">
        <v>185</v>
      </c>
      <c r="D20" s="10" t="s">
        <v>15</v>
      </c>
      <c r="E20" s="10" t="s">
        <v>209</v>
      </c>
      <c r="F20" s="10" t="s">
        <v>29</v>
      </c>
      <c r="G20" s="10" t="s">
        <v>6</v>
      </c>
      <c r="H20" s="10" t="s">
        <v>210</v>
      </c>
      <c r="I20" s="10" t="s">
        <v>211</v>
      </c>
      <c r="J20" s="10" t="s">
        <v>212</v>
      </c>
      <c r="K20" s="10" t="s">
        <v>213</v>
      </c>
      <c r="L20" s="10" t="s">
        <v>214</v>
      </c>
      <c r="M20" s="10" t="s">
        <v>78</v>
      </c>
      <c r="N20" s="10"/>
      <c r="O20" s="12"/>
      <c r="P20" s="12" t="s">
        <v>79</v>
      </c>
    </row>
    <row r="21" customFormat="false" ht="113.4" hidden="false" customHeight="false" outlineLevel="0" collapsed="false">
      <c r="A21" s="10" t="s">
        <v>215</v>
      </c>
      <c r="B21" s="10" t="s">
        <v>4</v>
      </c>
      <c r="C21" s="10" t="s">
        <v>185</v>
      </c>
      <c r="D21" s="10" t="s">
        <v>14</v>
      </c>
      <c r="E21" s="10" t="s">
        <v>216</v>
      </c>
      <c r="F21" s="10" t="s">
        <v>31</v>
      </c>
      <c r="G21" s="10" t="s">
        <v>6</v>
      </c>
      <c r="H21" s="10" t="s">
        <v>217</v>
      </c>
      <c r="I21" s="10" t="s">
        <v>218</v>
      </c>
      <c r="J21" s="10" t="s">
        <v>219</v>
      </c>
      <c r="K21" s="10" t="s">
        <v>190</v>
      </c>
      <c r="L21" s="10" t="s">
        <v>161</v>
      </c>
      <c r="M21" s="10" t="s">
        <v>96</v>
      </c>
      <c r="N21" s="10" t="s">
        <v>220</v>
      </c>
      <c r="O21" s="12"/>
      <c r="P21" s="12" t="s">
        <v>79</v>
      </c>
    </row>
    <row r="22" customFormat="false" ht="57.45" hidden="false" customHeight="false" outlineLevel="0" collapsed="false">
      <c r="A22" s="10" t="s">
        <v>175</v>
      </c>
      <c r="B22" s="10" t="s">
        <v>4</v>
      </c>
      <c r="C22" s="10" t="s">
        <v>221</v>
      </c>
      <c r="D22" s="10" t="s">
        <v>10</v>
      </c>
      <c r="E22" s="10" t="s">
        <v>222</v>
      </c>
      <c r="F22" s="10" t="s">
        <v>34</v>
      </c>
      <c r="G22" s="10" t="s">
        <v>6</v>
      </c>
      <c r="H22" s="10" t="s">
        <v>223</v>
      </c>
      <c r="I22" s="10" t="s">
        <v>224</v>
      </c>
      <c r="J22" s="10" t="s">
        <v>225</v>
      </c>
      <c r="K22" s="10" t="s">
        <v>170</v>
      </c>
      <c r="L22" s="10" t="s">
        <v>226</v>
      </c>
      <c r="M22" s="10" t="s">
        <v>78</v>
      </c>
      <c r="N22" s="10"/>
      <c r="O22" s="12"/>
      <c r="P22" s="12" t="s">
        <v>79</v>
      </c>
    </row>
    <row r="23" customFormat="false" ht="57.45" hidden="false" customHeight="false" outlineLevel="0" collapsed="false">
      <c r="A23" s="10" t="s">
        <v>194</v>
      </c>
      <c r="B23" s="10" t="s">
        <v>4</v>
      </c>
      <c r="C23" s="10" t="s">
        <v>221</v>
      </c>
      <c r="D23" s="10" t="s">
        <v>10</v>
      </c>
      <c r="E23" s="10" t="s">
        <v>227</v>
      </c>
      <c r="F23" s="10" t="s">
        <v>34</v>
      </c>
      <c r="G23" s="10" t="s">
        <v>6</v>
      </c>
      <c r="H23" s="10" t="s">
        <v>228</v>
      </c>
      <c r="I23" s="10" t="s">
        <v>229</v>
      </c>
      <c r="J23" s="10" t="s">
        <v>230</v>
      </c>
      <c r="K23" s="10" t="s">
        <v>190</v>
      </c>
      <c r="L23" s="10" t="s">
        <v>161</v>
      </c>
      <c r="M23" s="10" t="s">
        <v>78</v>
      </c>
      <c r="N23" s="10"/>
      <c r="O23" s="12"/>
      <c r="P23" s="12" t="s">
        <v>79</v>
      </c>
    </row>
    <row r="24" customFormat="false" ht="46.25" hidden="false" customHeight="false" outlineLevel="0" collapsed="false">
      <c r="A24" s="10" t="s">
        <v>154</v>
      </c>
      <c r="B24" s="10" t="s">
        <v>4</v>
      </c>
      <c r="C24" s="10" t="s">
        <v>221</v>
      </c>
      <c r="D24" s="10" t="s">
        <v>10</v>
      </c>
      <c r="E24" s="10" t="s">
        <v>227</v>
      </c>
      <c r="F24" s="10" t="s">
        <v>25</v>
      </c>
      <c r="G24" s="10" t="s">
        <v>6</v>
      </c>
      <c r="H24" s="10" t="s">
        <v>231</v>
      </c>
      <c r="I24" s="10" t="s">
        <v>232</v>
      </c>
      <c r="J24" s="10" t="s">
        <v>233</v>
      </c>
      <c r="K24" s="10" t="s">
        <v>149</v>
      </c>
      <c r="L24" s="10" t="s">
        <v>161</v>
      </c>
      <c r="M24" s="10" t="s">
        <v>78</v>
      </c>
      <c r="N24" s="10"/>
      <c r="O24" s="12"/>
      <c r="P24" s="12" t="s">
        <v>79</v>
      </c>
    </row>
    <row r="25" customFormat="false" ht="35.05" hidden="false" customHeight="false" outlineLevel="0" collapsed="false">
      <c r="A25" s="10" t="s">
        <v>234</v>
      </c>
      <c r="B25" s="10" t="s">
        <v>4</v>
      </c>
      <c r="C25" s="10" t="s">
        <v>221</v>
      </c>
      <c r="D25" s="10" t="s">
        <v>10</v>
      </c>
      <c r="E25" s="10" t="s">
        <v>235</v>
      </c>
      <c r="F25" s="10" t="s">
        <v>34</v>
      </c>
      <c r="G25" s="10" t="s">
        <v>111</v>
      </c>
      <c r="H25" s="10" t="s">
        <v>236</v>
      </c>
      <c r="I25" s="10" t="s">
        <v>237</v>
      </c>
      <c r="J25" s="10" t="s">
        <v>238</v>
      </c>
      <c r="K25" s="10"/>
      <c r="L25" s="10" t="s">
        <v>239</v>
      </c>
      <c r="M25" s="10" t="s">
        <v>78</v>
      </c>
      <c r="N25" s="10"/>
      <c r="O25" s="12"/>
      <c r="P25" s="12" t="s">
        <v>79</v>
      </c>
    </row>
    <row r="26" customFormat="false" ht="57.45" hidden="false" customHeight="false" outlineLevel="0" collapsed="false">
      <c r="A26" s="10" t="s">
        <v>240</v>
      </c>
      <c r="B26" s="10" t="s">
        <v>4</v>
      </c>
      <c r="C26" s="10" t="s">
        <v>241</v>
      </c>
      <c r="D26" s="10" t="s">
        <v>13</v>
      </c>
      <c r="E26" s="10" t="s">
        <v>242</v>
      </c>
      <c r="F26" s="10" t="s">
        <v>22</v>
      </c>
      <c r="G26" s="10" t="s">
        <v>6</v>
      </c>
      <c r="H26" s="10" t="s">
        <v>243</v>
      </c>
      <c r="I26" s="10" t="s">
        <v>244</v>
      </c>
      <c r="J26" s="10" t="s">
        <v>245</v>
      </c>
      <c r="K26" s="10" t="s">
        <v>70</v>
      </c>
      <c r="L26" s="10" t="s">
        <v>246</v>
      </c>
      <c r="M26" s="10" t="s">
        <v>78</v>
      </c>
      <c r="N26" s="10"/>
      <c r="O26" s="12"/>
      <c r="P26" s="12" t="s">
        <v>79</v>
      </c>
    </row>
    <row r="27" customFormat="false" ht="46.25" hidden="false" customHeight="false" outlineLevel="0" collapsed="false">
      <c r="A27" s="10" t="s">
        <v>247</v>
      </c>
      <c r="B27" s="10" t="s">
        <v>4</v>
      </c>
      <c r="C27" s="10" t="s">
        <v>241</v>
      </c>
      <c r="D27" s="10" t="s">
        <v>13</v>
      </c>
      <c r="E27" s="10" t="s">
        <v>242</v>
      </c>
      <c r="F27" s="10" t="s">
        <v>22</v>
      </c>
      <c r="G27" s="10" t="s">
        <v>6</v>
      </c>
      <c r="H27" s="10" t="s">
        <v>248</v>
      </c>
      <c r="I27" s="10" t="s">
        <v>249</v>
      </c>
      <c r="J27" s="10" t="s">
        <v>250</v>
      </c>
      <c r="K27" s="10" t="s">
        <v>70</v>
      </c>
      <c r="L27" s="10" t="s">
        <v>161</v>
      </c>
      <c r="M27" s="10" t="s">
        <v>78</v>
      </c>
      <c r="N27" s="10"/>
      <c r="O27" s="12"/>
      <c r="P27" s="12" t="s">
        <v>79</v>
      </c>
    </row>
    <row r="28" customFormat="false" ht="57.45" hidden="false" customHeight="false" outlineLevel="0" collapsed="false">
      <c r="A28" s="10" t="s">
        <v>251</v>
      </c>
      <c r="B28" s="10" t="s">
        <v>4</v>
      </c>
      <c r="C28" s="10" t="s">
        <v>241</v>
      </c>
      <c r="D28" s="10" t="s">
        <v>13</v>
      </c>
      <c r="E28" s="10" t="s">
        <v>242</v>
      </c>
      <c r="F28" s="10" t="s">
        <v>31</v>
      </c>
      <c r="G28" s="10" t="s">
        <v>6</v>
      </c>
      <c r="H28" s="10" t="s">
        <v>252</v>
      </c>
      <c r="I28" s="10" t="s">
        <v>253</v>
      </c>
      <c r="J28" s="10" t="s">
        <v>254</v>
      </c>
      <c r="K28" s="10" t="s">
        <v>190</v>
      </c>
      <c r="L28" s="10" t="s">
        <v>161</v>
      </c>
      <c r="M28" s="10" t="s">
        <v>78</v>
      </c>
      <c r="N28" s="10"/>
      <c r="O28" s="12"/>
      <c r="P28" s="12" t="s">
        <v>79</v>
      </c>
    </row>
    <row r="29" customFormat="false" ht="57.45" hidden="false" customHeight="false" outlineLevel="0" collapsed="false">
      <c r="A29" s="10" t="s">
        <v>255</v>
      </c>
      <c r="B29" s="10" t="s">
        <v>4</v>
      </c>
      <c r="C29" s="10" t="s">
        <v>256</v>
      </c>
      <c r="D29" s="10" t="s">
        <v>12</v>
      </c>
      <c r="E29" s="10" t="s">
        <v>257</v>
      </c>
      <c r="F29" s="10" t="s">
        <v>38</v>
      </c>
      <c r="G29" s="10" t="s">
        <v>111</v>
      </c>
      <c r="H29" s="10" t="s">
        <v>258</v>
      </c>
      <c r="I29" s="10" t="s">
        <v>259</v>
      </c>
      <c r="J29" s="10" t="s">
        <v>260</v>
      </c>
      <c r="K29" s="10"/>
      <c r="L29" s="10" t="s">
        <v>261</v>
      </c>
      <c r="M29" s="10" t="s">
        <v>78</v>
      </c>
      <c r="N29" s="10"/>
      <c r="O29" s="12"/>
      <c r="P29" s="12" t="s">
        <v>79</v>
      </c>
    </row>
    <row r="30" customFormat="false" ht="35.05" hidden="false" customHeight="false" outlineLevel="0" collapsed="false">
      <c r="A30" s="10" t="s">
        <v>115</v>
      </c>
      <c r="B30" s="10" t="s">
        <v>4</v>
      </c>
      <c r="C30" s="10" t="s">
        <v>256</v>
      </c>
      <c r="D30" s="10" t="s">
        <v>12</v>
      </c>
      <c r="E30" s="10" t="s">
        <v>262</v>
      </c>
      <c r="F30" s="10" t="s">
        <v>33</v>
      </c>
      <c r="G30" s="10" t="s">
        <v>111</v>
      </c>
      <c r="H30" s="10" t="s">
        <v>263</v>
      </c>
      <c r="I30" s="10" t="s">
        <v>264</v>
      </c>
      <c r="J30" s="10" t="s">
        <v>265</v>
      </c>
      <c r="K30" s="10" t="s">
        <v>108</v>
      </c>
      <c r="L30" s="10" t="s">
        <v>161</v>
      </c>
      <c r="M30" s="10" t="s">
        <v>106</v>
      </c>
      <c r="N30" s="10" t="s">
        <v>117</v>
      </c>
      <c r="O30" s="12"/>
      <c r="P30" s="12" t="s">
        <v>79</v>
      </c>
    </row>
    <row r="31" customFormat="false" ht="91" hidden="false" customHeight="false" outlineLevel="0" collapsed="false">
      <c r="A31" s="10" t="s">
        <v>266</v>
      </c>
      <c r="B31" s="10" t="s">
        <v>4</v>
      </c>
      <c r="C31" s="10" t="s">
        <v>267</v>
      </c>
      <c r="D31" s="10" t="s">
        <v>13</v>
      </c>
      <c r="E31" s="10" t="s">
        <v>268</v>
      </c>
      <c r="F31" s="10" t="s">
        <v>31</v>
      </c>
      <c r="G31" s="10" t="s">
        <v>111</v>
      </c>
      <c r="H31" s="10" t="s">
        <v>269</v>
      </c>
      <c r="I31" s="10" t="s">
        <v>270</v>
      </c>
      <c r="J31" s="10" t="s">
        <v>271</v>
      </c>
      <c r="K31" s="10"/>
      <c r="L31" s="10" t="s">
        <v>272</v>
      </c>
      <c r="M31" s="10" t="s">
        <v>78</v>
      </c>
      <c r="N31" s="10"/>
      <c r="O31" s="12"/>
      <c r="P31" s="12" t="s">
        <v>79</v>
      </c>
    </row>
    <row r="32" customFormat="false" ht="23.85" hidden="false" customHeight="false" outlineLevel="0" collapsed="false">
      <c r="A32" s="10" t="s">
        <v>139</v>
      </c>
      <c r="B32" s="10" t="s">
        <v>4</v>
      </c>
      <c r="C32" s="10" t="s">
        <v>267</v>
      </c>
      <c r="D32" s="10" t="s">
        <v>13</v>
      </c>
      <c r="E32" s="10" t="s">
        <v>135</v>
      </c>
      <c r="F32" s="10" t="s">
        <v>35</v>
      </c>
      <c r="G32" s="10" t="s">
        <v>111</v>
      </c>
      <c r="H32" s="10" t="s">
        <v>136</v>
      </c>
      <c r="I32" s="10" t="s">
        <v>273</v>
      </c>
      <c r="J32" s="10" t="s">
        <v>138</v>
      </c>
      <c r="K32" s="10" t="s">
        <v>133</v>
      </c>
      <c r="L32" s="10" t="s">
        <v>140</v>
      </c>
      <c r="M32" s="10" t="s">
        <v>78</v>
      </c>
      <c r="N32" s="10"/>
      <c r="O32" s="12"/>
      <c r="P32" s="12" t="s">
        <v>79</v>
      </c>
    </row>
    <row r="33" customFormat="false" ht="57.45" hidden="false" customHeight="false" outlineLevel="0" collapsed="false">
      <c r="A33" s="10" t="s">
        <v>274</v>
      </c>
      <c r="B33" s="10" t="s">
        <v>4</v>
      </c>
      <c r="C33" s="10" t="s">
        <v>267</v>
      </c>
      <c r="D33" s="10" t="s">
        <v>13</v>
      </c>
      <c r="E33" s="10" t="s">
        <v>275</v>
      </c>
      <c r="F33" s="10" t="s">
        <v>37</v>
      </c>
      <c r="G33" s="10" t="s">
        <v>111</v>
      </c>
      <c r="H33" s="10" t="s">
        <v>276</v>
      </c>
      <c r="I33" s="10" t="s">
        <v>277</v>
      </c>
      <c r="J33" s="10" t="s">
        <v>278</v>
      </c>
      <c r="K33" s="10"/>
      <c r="L33" s="10" t="s">
        <v>279</v>
      </c>
      <c r="M33" s="10" t="s">
        <v>106</v>
      </c>
      <c r="N33" s="10" t="s">
        <v>280</v>
      </c>
      <c r="O33" s="12"/>
      <c r="P33" s="12" t="s">
        <v>79</v>
      </c>
    </row>
    <row r="34" customFormat="false" ht="46.25" hidden="false" customHeight="false" outlineLevel="0" collapsed="false">
      <c r="A34" s="10" t="s">
        <v>281</v>
      </c>
      <c r="B34" s="10" t="s">
        <v>4</v>
      </c>
      <c r="C34" s="10" t="s">
        <v>282</v>
      </c>
      <c r="D34" s="10" t="s">
        <v>16</v>
      </c>
      <c r="E34" s="10" t="s">
        <v>283</v>
      </c>
      <c r="F34" s="10" t="s">
        <v>27</v>
      </c>
      <c r="G34" s="10" t="s">
        <v>111</v>
      </c>
      <c r="H34" s="10" t="s">
        <v>284</v>
      </c>
      <c r="I34" s="10" t="s">
        <v>285</v>
      </c>
      <c r="J34" s="10" t="s">
        <v>286</v>
      </c>
      <c r="K34" s="10"/>
      <c r="L34" s="10" t="s">
        <v>287</v>
      </c>
      <c r="M34" s="10" t="s">
        <v>78</v>
      </c>
      <c r="N34" s="10"/>
      <c r="O34" s="12"/>
      <c r="P34" s="12" t="s">
        <v>79</v>
      </c>
    </row>
    <row r="35" customFormat="false" ht="46.25" hidden="false" customHeight="false" outlineLevel="0" collapsed="false">
      <c r="A35" s="10" t="s">
        <v>288</v>
      </c>
      <c r="B35" s="10" t="s">
        <v>4</v>
      </c>
      <c r="C35" s="10" t="s">
        <v>282</v>
      </c>
      <c r="D35" s="10" t="s">
        <v>16</v>
      </c>
      <c r="E35" s="10" t="s">
        <v>289</v>
      </c>
      <c r="F35" s="10" t="s">
        <v>27</v>
      </c>
      <c r="G35" s="10" t="s">
        <v>111</v>
      </c>
      <c r="H35" s="10" t="s">
        <v>290</v>
      </c>
      <c r="I35" s="10" t="s">
        <v>291</v>
      </c>
      <c r="J35" s="10" t="s">
        <v>292</v>
      </c>
      <c r="K35" s="10"/>
      <c r="L35" s="10" t="s">
        <v>293</v>
      </c>
      <c r="M35" s="10" t="s">
        <v>106</v>
      </c>
      <c r="N35" s="10" t="s">
        <v>294</v>
      </c>
      <c r="O35" s="12"/>
      <c r="P35" s="12" t="s">
        <v>79</v>
      </c>
    </row>
    <row r="36" customFormat="false" ht="35.05" hidden="false" customHeight="false" outlineLevel="0" collapsed="false">
      <c r="A36" s="10" t="s">
        <v>295</v>
      </c>
      <c r="B36" s="10" t="s">
        <v>4</v>
      </c>
      <c r="C36" s="10" t="s">
        <v>296</v>
      </c>
      <c r="D36" s="10" t="s">
        <v>18</v>
      </c>
      <c r="E36" s="10" t="s">
        <v>297</v>
      </c>
      <c r="F36" s="10" t="s">
        <v>28</v>
      </c>
      <c r="G36" s="10" t="s">
        <v>111</v>
      </c>
      <c r="H36" s="10" t="s">
        <v>298</v>
      </c>
      <c r="I36" s="10" t="s">
        <v>299</v>
      </c>
      <c r="J36" s="10" t="s">
        <v>300</v>
      </c>
      <c r="K36" s="10"/>
      <c r="L36" s="10" t="s">
        <v>301</v>
      </c>
      <c r="M36" s="10" t="s">
        <v>78</v>
      </c>
      <c r="N36" s="10"/>
      <c r="O36" s="12"/>
      <c r="P36" s="12" t="s">
        <v>79</v>
      </c>
    </row>
    <row r="37" customFormat="false" ht="147" hidden="false" customHeight="false" outlineLevel="0" collapsed="false">
      <c r="A37" s="10" t="s">
        <v>302</v>
      </c>
      <c r="B37" s="10" t="s">
        <v>4</v>
      </c>
      <c r="C37" s="10" t="s">
        <v>303</v>
      </c>
      <c r="D37" s="10" t="s">
        <v>19</v>
      </c>
      <c r="E37" s="10" t="s">
        <v>304</v>
      </c>
      <c r="F37" s="10" t="s">
        <v>26</v>
      </c>
      <c r="G37" s="10" t="s">
        <v>6</v>
      </c>
      <c r="H37" s="10" t="s">
        <v>305</v>
      </c>
      <c r="I37" s="10" t="s">
        <v>306</v>
      </c>
      <c r="J37" s="10" t="s">
        <v>307</v>
      </c>
      <c r="K37" s="10" t="s">
        <v>162</v>
      </c>
      <c r="L37" s="10" t="s">
        <v>308</v>
      </c>
      <c r="M37" s="10" t="s">
        <v>106</v>
      </c>
      <c r="N37" s="10" t="s">
        <v>309</v>
      </c>
      <c r="O37" s="12"/>
      <c r="P37" s="12" t="s">
        <v>79</v>
      </c>
    </row>
    <row r="38" customFormat="false" ht="79.85" hidden="false" customHeight="false" outlineLevel="0" collapsed="false">
      <c r="A38" s="10" t="s">
        <v>200</v>
      </c>
      <c r="B38" s="10" t="s">
        <v>4</v>
      </c>
      <c r="C38" s="10" t="s">
        <v>109</v>
      </c>
      <c r="D38" s="10" t="s">
        <v>19</v>
      </c>
      <c r="E38" s="10" t="s">
        <v>310</v>
      </c>
      <c r="F38" s="10" t="s">
        <v>23</v>
      </c>
      <c r="G38" s="10" t="s">
        <v>6</v>
      </c>
      <c r="H38" s="10" t="s">
        <v>311</v>
      </c>
      <c r="I38" s="10" t="s">
        <v>312</v>
      </c>
      <c r="J38" s="10" t="s">
        <v>313</v>
      </c>
      <c r="K38" s="10" t="s">
        <v>195</v>
      </c>
      <c r="L38" s="10" t="s">
        <v>314</v>
      </c>
      <c r="M38" s="10" t="s">
        <v>106</v>
      </c>
      <c r="N38" s="10" t="s">
        <v>315</v>
      </c>
      <c r="O38" s="12"/>
      <c r="P38" s="12" t="s">
        <v>79</v>
      </c>
    </row>
    <row r="39" customFormat="false" ht="113.4" hidden="false" customHeight="false" outlineLevel="0" collapsed="false">
      <c r="A39" s="10" t="s">
        <v>104</v>
      </c>
      <c r="B39" s="10" t="s">
        <v>4</v>
      </c>
      <c r="C39" s="10" t="s">
        <v>119</v>
      </c>
      <c r="D39" s="10" t="s">
        <v>19</v>
      </c>
      <c r="E39" s="10" t="s">
        <v>316</v>
      </c>
      <c r="F39" s="10" t="s">
        <v>23</v>
      </c>
      <c r="G39" s="10" t="s">
        <v>6</v>
      </c>
      <c r="H39" s="10" t="s">
        <v>317</v>
      </c>
      <c r="I39" s="10" t="s">
        <v>318</v>
      </c>
      <c r="J39" s="10" t="s">
        <v>319</v>
      </c>
      <c r="K39" s="10" t="s">
        <v>320</v>
      </c>
      <c r="L39" s="10" t="s">
        <v>321</v>
      </c>
      <c r="M39" s="10" t="s">
        <v>106</v>
      </c>
      <c r="N39" s="10" t="s">
        <v>322</v>
      </c>
      <c r="O39" s="12"/>
      <c r="P39" s="12" t="s">
        <v>79</v>
      </c>
    </row>
    <row r="40" customFormat="false" ht="46.25" hidden="false" customHeight="false" outlineLevel="0" collapsed="false">
      <c r="A40" s="10" t="s">
        <v>323</v>
      </c>
      <c r="B40" s="10" t="s">
        <v>4</v>
      </c>
      <c r="C40" s="10" t="s">
        <v>126</v>
      </c>
      <c r="D40" s="10" t="s">
        <v>19</v>
      </c>
      <c r="E40" s="10" t="s">
        <v>324</v>
      </c>
      <c r="F40" s="10" t="s">
        <v>23</v>
      </c>
      <c r="G40" s="10" t="s">
        <v>6</v>
      </c>
      <c r="H40" s="10" t="s">
        <v>325</v>
      </c>
      <c r="I40" s="10" t="s">
        <v>326</v>
      </c>
      <c r="J40" s="10" t="s">
        <v>327</v>
      </c>
      <c r="K40" s="10"/>
      <c r="L40" s="10" t="s">
        <v>328</v>
      </c>
      <c r="M40" s="10" t="s">
        <v>106</v>
      </c>
      <c r="N40" s="10" t="s">
        <v>329</v>
      </c>
      <c r="O40" s="12"/>
      <c r="P40" s="12" t="s">
        <v>79</v>
      </c>
    </row>
    <row r="41" customFormat="false" ht="46.25" hidden="false" customHeight="false" outlineLevel="0" collapsed="false">
      <c r="A41" s="10" t="s">
        <v>330</v>
      </c>
      <c r="B41" s="10" t="s">
        <v>4</v>
      </c>
      <c r="C41" s="10" t="s">
        <v>331</v>
      </c>
      <c r="D41" s="10" t="s">
        <v>19</v>
      </c>
      <c r="E41" s="10" t="s">
        <v>332</v>
      </c>
      <c r="F41" s="10" t="s">
        <v>30</v>
      </c>
      <c r="G41" s="10" t="s">
        <v>6</v>
      </c>
      <c r="H41" s="10" t="s">
        <v>333</v>
      </c>
      <c r="I41" s="10" t="s">
        <v>334</v>
      </c>
      <c r="J41" s="10" t="s">
        <v>335</v>
      </c>
      <c r="K41" s="10"/>
      <c r="L41" s="10" t="s">
        <v>336</v>
      </c>
      <c r="M41" s="10" t="s">
        <v>106</v>
      </c>
      <c r="N41" s="10" t="s">
        <v>337</v>
      </c>
      <c r="O41" s="12"/>
      <c r="P41" s="12" t="s">
        <v>79</v>
      </c>
    </row>
    <row r="42" customFormat="false" ht="46.25" hidden="false" customHeight="false" outlineLevel="0" collapsed="false">
      <c r="A42" s="10" t="s">
        <v>338</v>
      </c>
      <c r="B42" s="10" t="s">
        <v>4</v>
      </c>
      <c r="C42" s="10" t="s">
        <v>339</v>
      </c>
      <c r="D42" s="10" t="s">
        <v>19</v>
      </c>
      <c r="E42" s="10" t="s">
        <v>340</v>
      </c>
      <c r="F42" s="10" t="s">
        <v>23</v>
      </c>
      <c r="G42" s="10" t="s">
        <v>111</v>
      </c>
      <c r="H42" s="10" t="s">
        <v>341</v>
      </c>
      <c r="I42" s="10" t="s">
        <v>342</v>
      </c>
      <c r="J42" s="10" t="s">
        <v>343</v>
      </c>
      <c r="K42" s="10"/>
      <c r="L42" s="10" t="s">
        <v>344</v>
      </c>
      <c r="M42" s="10" t="s">
        <v>106</v>
      </c>
      <c r="N42" s="10" t="s">
        <v>345</v>
      </c>
      <c r="O42" s="12"/>
      <c r="P42" s="12" t="s">
        <v>79</v>
      </c>
    </row>
    <row r="43" customFormat="false" ht="46.25" hidden="false" customHeight="false" outlineLevel="0" collapsed="false">
      <c r="A43" s="10" t="s">
        <v>346</v>
      </c>
      <c r="B43" s="10" t="s">
        <v>4</v>
      </c>
      <c r="C43" s="10" t="s">
        <v>347</v>
      </c>
      <c r="D43" s="10" t="s">
        <v>19</v>
      </c>
      <c r="E43" s="10" t="s">
        <v>348</v>
      </c>
      <c r="F43" s="10" t="s">
        <v>30</v>
      </c>
      <c r="G43" s="10" t="s">
        <v>111</v>
      </c>
      <c r="H43" s="10" t="s">
        <v>349</v>
      </c>
      <c r="I43" s="10" t="s">
        <v>350</v>
      </c>
      <c r="J43" s="10" t="s">
        <v>351</v>
      </c>
      <c r="K43" s="10"/>
      <c r="L43" s="10" t="s">
        <v>352</v>
      </c>
      <c r="M43" s="10" t="s">
        <v>106</v>
      </c>
      <c r="N43" s="10" t="s">
        <v>353</v>
      </c>
      <c r="O43" s="12"/>
      <c r="P43" s="12" t="s">
        <v>79</v>
      </c>
    </row>
    <row r="44" customFormat="false" ht="46.25" hidden="false" customHeight="false" outlineLevel="0" collapsed="false">
      <c r="A44" s="10" t="s">
        <v>354</v>
      </c>
      <c r="B44" s="10" t="s">
        <v>4</v>
      </c>
      <c r="C44" s="10" t="s">
        <v>355</v>
      </c>
      <c r="D44" s="10" t="s">
        <v>19</v>
      </c>
      <c r="E44" s="10" t="s">
        <v>356</v>
      </c>
      <c r="F44" s="10" t="s">
        <v>24</v>
      </c>
      <c r="G44" s="10" t="s">
        <v>111</v>
      </c>
      <c r="H44" s="10" t="s">
        <v>357</v>
      </c>
      <c r="I44" s="10" t="s">
        <v>358</v>
      </c>
      <c r="J44" s="10" t="s">
        <v>359</v>
      </c>
      <c r="K44" s="10" t="s">
        <v>125</v>
      </c>
      <c r="L44" s="10" t="s">
        <v>360</v>
      </c>
      <c r="M44" s="10" t="s">
        <v>106</v>
      </c>
      <c r="N44" s="10" t="s">
        <v>356</v>
      </c>
      <c r="O44" s="12"/>
      <c r="P44" s="12" t="s">
        <v>79</v>
      </c>
    </row>
    <row r="45" customFormat="false" ht="35.05" hidden="false" customHeight="false" outlineLevel="0" collapsed="false">
      <c r="A45" s="10" t="s">
        <v>361</v>
      </c>
      <c r="B45" s="10" t="s">
        <v>4</v>
      </c>
      <c r="C45" s="10" t="s">
        <v>362</v>
      </c>
      <c r="D45" s="10" t="s">
        <v>19</v>
      </c>
      <c r="E45" s="10" t="s">
        <v>363</v>
      </c>
      <c r="F45" s="10" t="s">
        <v>24</v>
      </c>
      <c r="G45" s="10" t="s">
        <v>111</v>
      </c>
      <c r="H45" s="10" t="s">
        <v>364</v>
      </c>
      <c r="I45" s="10" t="s">
        <v>365</v>
      </c>
      <c r="J45" s="10" t="s">
        <v>366</v>
      </c>
      <c r="K45" s="10"/>
      <c r="L45" s="10" t="s">
        <v>367</v>
      </c>
      <c r="M45" s="10" t="s">
        <v>106</v>
      </c>
      <c r="N45" s="10" t="s">
        <v>368</v>
      </c>
      <c r="O45" s="12"/>
      <c r="P45" s="12" t="s">
        <v>79</v>
      </c>
    </row>
    <row r="46" customFormat="false" ht="23.85" hidden="false" customHeight="false" outlineLevel="0" collapsed="false">
      <c r="A46" s="10" t="s">
        <v>369</v>
      </c>
      <c r="B46" s="10" t="s">
        <v>4</v>
      </c>
      <c r="C46" s="10" t="s">
        <v>370</v>
      </c>
      <c r="D46" s="10" t="s">
        <v>19</v>
      </c>
      <c r="E46" s="10" t="s">
        <v>371</v>
      </c>
      <c r="F46" s="10" t="s">
        <v>24</v>
      </c>
      <c r="G46" s="10" t="s">
        <v>111</v>
      </c>
      <c r="H46" s="10" t="s">
        <v>372</v>
      </c>
      <c r="I46" s="10" t="s">
        <v>373</v>
      </c>
      <c r="J46" s="10" t="s">
        <v>374</v>
      </c>
      <c r="K46" s="10"/>
      <c r="L46" s="10" t="s">
        <v>360</v>
      </c>
      <c r="M46" s="10" t="s">
        <v>106</v>
      </c>
      <c r="N46" s="10" t="s">
        <v>375</v>
      </c>
      <c r="O46" s="12"/>
      <c r="P46" s="12" t="s">
        <v>79</v>
      </c>
    </row>
    <row r="48" customFormat="false" ht="15" hidden="false" customHeight="false" outlineLevel="0" collapsed="false">
      <c r="A48" s="2" t="s">
        <v>376</v>
      </c>
    </row>
    <row r="49" customFormat="false" ht="15" hidden="false" customHeight="false" outlineLevel="0" collapsed="false">
      <c r="A49" s="2" t="s">
        <v>377</v>
      </c>
    </row>
    <row r="50" customFormat="false" ht="15" hidden="false" customHeight="false" outlineLevel="0" collapsed="false">
      <c r="A50" s="2" t="s">
        <v>378</v>
      </c>
    </row>
    <row r="51" customFormat="false" ht="15" hidden="false" customHeight="false" outlineLevel="0" collapsed="false">
      <c r="A51" s="2" t="s">
        <v>379</v>
      </c>
    </row>
    <row r="52" customFormat="false" ht="15" hidden="false" customHeight="false" outlineLevel="0" collapsed="false">
      <c r="A52" s="2" t="s">
        <v>380</v>
      </c>
    </row>
  </sheetData>
  <autoFilter ref="A1:P46"/>
  <conditionalFormatting sqref="G2:G46">
    <cfRule type="expression" priority="2" aboveAverage="0" equalAverage="0" bottom="0" percent="0" rank="0" text="" dxfId="6">
      <formula>$G2="Major"</formula>
    </cfRule>
  </conditionalFormatting>
  <conditionalFormatting sqref="P2:P46">
    <cfRule type="expression" priority="3" aboveAverage="0" equalAverage="0" bottom="0" percent="0" rank="0" text="" dxfId="7">
      <formula>$P2="Done"</formula>
    </cfRule>
  </conditionalFormatting>
  <conditionalFormatting sqref="M2:M46">
    <cfRule type="expression" priority="4" aboveAverage="0" equalAverage="0" bottom="0" percent="0" rank="0" text="" dxfId="8">
      <formula>$M2="Yes"</formula>
    </cfRule>
  </conditionalFormatting>
  <dataValidations count="1">
    <dataValidation allowBlank="true" errorStyle="stop" operator="between" showDropDown="false" showErrorMessage="false" showInputMessage="false" sqref="P2:P46" type="list">
      <formula1>"To do,In progress,Verify,Done,Will not change"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40"/>
    <col collapsed="false" customWidth="true" hidden="false" outlineLevel="0" max="4" min="3" style="0" width="9"/>
    <col collapsed="false" customWidth="true" hidden="false" outlineLevel="0" max="5" min="5" style="0" width="50"/>
    <col collapsed="false" customWidth="true" hidden="false" outlineLevel="0" max="6" min="6" style="0" width="16"/>
    <col collapsed="false" customWidth="true" hidden="false" outlineLevel="0" max="7" min="7" style="0" width="13"/>
  </cols>
  <sheetData>
    <row r="1" customFormat="false" ht="16.15" hidden="false" customHeight="false" outlineLevel="0" collapsed="false">
      <c r="A1" s="1" t="s">
        <v>381</v>
      </c>
    </row>
    <row r="2" customFormat="false" ht="15" hidden="false" customHeight="false" outlineLevel="0" collapsed="false">
      <c r="A2" s="2" t="s">
        <v>382</v>
      </c>
    </row>
    <row r="4" customFormat="false" ht="15" hidden="false" customHeight="false" outlineLevel="0" collapsed="false">
      <c r="A4" s="7" t="s">
        <v>57</v>
      </c>
      <c r="B4" s="7" t="s">
        <v>67</v>
      </c>
      <c r="C4" s="7" t="s">
        <v>383</v>
      </c>
      <c r="D4" s="7" t="s">
        <v>60</v>
      </c>
      <c r="E4" s="7" t="s">
        <v>63</v>
      </c>
      <c r="F4" s="7" t="s">
        <v>64</v>
      </c>
      <c r="G4" s="7" t="s">
        <v>69</v>
      </c>
    </row>
    <row r="5" customFormat="false" ht="23.85" hidden="false" customHeight="false" outlineLevel="0" collapsed="false">
      <c r="A5" s="10" t="s">
        <v>346</v>
      </c>
      <c r="B5" s="10" t="s">
        <v>353</v>
      </c>
      <c r="C5" s="10" t="s">
        <v>106</v>
      </c>
      <c r="D5" s="10" t="s">
        <v>111</v>
      </c>
      <c r="E5" s="10" t="s">
        <v>351</v>
      </c>
      <c r="F5" s="10"/>
      <c r="G5" s="10" t="str">
        <f aca="false">INDEX('All Comments'!$P:$P,MATCH($A5,'All Comments'!$A:$A,0))</f>
        <v>To do</v>
      </c>
    </row>
    <row r="6" customFormat="false" ht="23.85" hidden="false" customHeight="false" outlineLevel="0" collapsed="false">
      <c r="A6" s="10" t="s">
        <v>361</v>
      </c>
      <c r="B6" s="10" t="s">
        <v>368</v>
      </c>
      <c r="C6" s="10" t="s">
        <v>106</v>
      </c>
      <c r="D6" s="10" t="s">
        <v>111</v>
      </c>
      <c r="E6" s="10" t="s">
        <v>366</v>
      </c>
      <c r="F6" s="10"/>
      <c r="G6" s="10" t="str">
        <f aca="false">INDEX('All Comments'!$P:$P,MATCH($A6,'All Comments'!$A:$A,0))</f>
        <v>To do</v>
      </c>
    </row>
    <row r="7" customFormat="false" ht="15" hidden="false" customHeight="false" outlineLevel="0" collapsed="false">
      <c r="A7" s="10" t="s">
        <v>302</v>
      </c>
      <c r="B7" s="10" t="s">
        <v>309</v>
      </c>
      <c r="C7" s="10" t="s">
        <v>106</v>
      </c>
      <c r="D7" s="10" t="s">
        <v>6</v>
      </c>
      <c r="E7" s="10" t="s">
        <v>307</v>
      </c>
      <c r="F7" s="10" t="s">
        <v>162</v>
      </c>
      <c r="G7" s="10" t="str">
        <f aca="false">INDEX('All Comments'!$P:$P,MATCH($A7,'All Comments'!$A:$A,0))</f>
        <v>To do</v>
      </c>
    </row>
    <row r="8" customFormat="false" ht="23.85" hidden="false" customHeight="false" outlineLevel="0" collapsed="false">
      <c r="A8" s="10" t="s">
        <v>108</v>
      </c>
      <c r="B8" s="10" t="s">
        <v>117</v>
      </c>
      <c r="C8" s="10" t="s">
        <v>106</v>
      </c>
      <c r="D8" s="10" t="s">
        <v>111</v>
      </c>
      <c r="E8" s="10" t="s">
        <v>114</v>
      </c>
      <c r="F8" s="10" t="s">
        <v>115</v>
      </c>
      <c r="G8" s="10" t="str">
        <f aca="false">INDEX('All Comments'!$P:$P,MATCH($A8,'All Comments'!$A:$A,0))</f>
        <v>To do</v>
      </c>
    </row>
    <row r="9" customFormat="false" ht="15" hidden="false" customHeight="false" outlineLevel="0" collapsed="false">
      <c r="A9" s="10" t="s">
        <v>115</v>
      </c>
      <c r="B9" s="10" t="s">
        <v>117</v>
      </c>
      <c r="C9" s="10" t="s">
        <v>106</v>
      </c>
      <c r="D9" s="10" t="s">
        <v>111</v>
      </c>
      <c r="E9" s="10" t="s">
        <v>265</v>
      </c>
      <c r="F9" s="10" t="s">
        <v>108</v>
      </c>
      <c r="G9" s="10" t="str">
        <f aca="false">INDEX('All Comments'!$P:$P,MATCH($A9,'All Comments'!$A:$A,0))</f>
        <v>To do</v>
      </c>
    </row>
    <row r="10" customFormat="false" ht="23.85" hidden="false" customHeight="false" outlineLevel="0" collapsed="false">
      <c r="A10" s="10" t="s">
        <v>98</v>
      </c>
      <c r="B10" s="10" t="s">
        <v>107</v>
      </c>
      <c r="C10" s="10" t="s">
        <v>106</v>
      </c>
      <c r="D10" s="10" t="s">
        <v>6</v>
      </c>
      <c r="E10" s="10" t="s">
        <v>103</v>
      </c>
      <c r="F10" s="10" t="s">
        <v>104</v>
      </c>
      <c r="G10" s="10" t="str">
        <f aca="false">INDEX('All Comments'!$P:$P,MATCH($A10,'All Comments'!$A:$A,0))</f>
        <v>To do</v>
      </c>
    </row>
    <row r="11" customFormat="false" ht="15" hidden="false" customHeight="false" outlineLevel="0" collapsed="false">
      <c r="A11" s="10" t="s">
        <v>118</v>
      </c>
      <c r="B11" s="10" t="s">
        <v>107</v>
      </c>
      <c r="C11" s="10" t="s">
        <v>106</v>
      </c>
      <c r="D11" s="10" t="s">
        <v>111</v>
      </c>
      <c r="E11" s="10" t="s">
        <v>123</v>
      </c>
      <c r="F11" s="10"/>
      <c r="G11" s="10" t="str">
        <f aca="false">INDEX('All Comments'!$P:$P,MATCH($A11,'All Comments'!$A:$A,0))</f>
        <v>To do</v>
      </c>
    </row>
    <row r="12" customFormat="false" ht="15" hidden="false" customHeight="false" outlineLevel="0" collapsed="false">
      <c r="A12" s="10" t="s">
        <v>125</v>
      </c>
      <c r="B12" s="10" t="s">
        <v>107</v>
      </c>
      <c r="C12" s="10" t="s">
        <v>106</v>
      </c>
      <c r="D12" s="10" t="s">
        <v>111</v>
      </c>
      <c r="E12" s="10" t="s">
        <v>130</v>
      </c>
      <c r="F12" s="10" t="s">
        <v>131</v>
      </c>
      <c r="G12" s="10" t="str">
        <f aca="false">INDEX('All Comments'!$P:$P,MATCH($A12,'All Comments'!$A:$A,0))</f>
        <v>To do</v>
      </c>
    </row>
    <row r="13" customFormat="false" ht="23.85" hidden="false" customHeight="false" outlineLevel="0" collapsed="false">
      <c r="A13" s="10" t="s">
        <v>323</v>
      </c>
      <c r="B13" s="10" t="s">
        <v>329</v>
      </c>
      <c r="C13" s="10" t="s">
        <v>106</v>
      </c>
      <c r="D13" s="10" t="s">
        <v>6</v>
      </c>
      <c r="E13" s="10" t="s">
        <v>327</v>
      </c>
      <c r="F13" s="10"/>
      <c r="G13" s="10" t="str">
        <f aca="false">INDEX('All Comments'!$P:$P,MATCH($A13,'All Comments'!$A:$A,0))</f>
        <v>To do</v>
      </c>
    </row>
    <row r="14" customFormat="false" ht="23.85" hidden="false" customHeight="false" outlineLevel="0" collapsed="false">
      <c r="A14" s="10" t="s">
        <v>104</v>
      </c>
      <c r="B14" s="10" t="s">
        <v>322</v>
      </c>
      <c r="C14" s="10" t="s">
        <v>106</v>
      </c>
      <c r="D14" s="10" t="s">
        <v>6</v>
      </c>
      <c r="E14" s="10" t="s">
        <v>319</v>
      </c>
      <c r="F14" s="10" t="s">
        <v>320</v>
      </c>
      <c r="G14" s="10" t="str">
        <f aca="false">INDEX('All Comments'!$P:$P,MATCH($A14,'All Comments'!$A:$A,0))</f>
        <v>To do</v>
      </c>
    </row>
    <row r="15" customFormat="false" ht="15" hidden="false" customHeight="false" outlineLevel="0" collapsed="false">
      <c r="A15" s="10" t="s">
        <v>288</v>
      </c>
      <c r="B15" s="10" t="s">
        <v>294</v>
      </c>
      <c r="C15" s="10" t="s">
        <v>106</v>
      </c>
      <c r="D15" s="10" t="s">
        <v>111</v>
      </c>
      <c r="E15" s="10" t="s">
        <v>292</v>
      </c>
      <c r="F15" s="10"/>
      <c r="G15" s="10" t="str">
        <f aca="false">INDEX('All Comments'!$P:$P,MATCH($A15,'All Comments'!$A:$A,0))</f>
        <v>To do</v>
      </c>
    </row>
    <row r="16" customFormat="false" ht="15" hidden="false" customHeight="false" outlineLevel="0" collapsed="false">
      <c r="A16" s="10" t="s">
        <v>338</v>
      </c>
      <c r="B16" s="10" t="s">
        <v>345</v>
      </c>
      <c r="C16" s="10" t="s">
        <v>106</v>
      </c>
      <c r="D16" s="10" t="s">
        <v>111</v>
      </c>
      <c r="E16" s="10" t="s">
        <v>343</v>
      </c>
      <c r="F16" s="10"/>
      <c r="G16" s="10" t="str">
        <f aca="false">INDEX('All Comments'!$P:$P,MATCH($A16,'All Comments'!$A:$A,0))</f>
        <v>To do</v>
      </c>
    </row>
    <row r="17" customFormat="false" ht="23.85" hidden="false" customHeight="false" outlineLevel="0" collapsed="false">
      <c r="A17" s="10" t="s">
        <v>330</v>
      </c>
      <c r="B17" s="10" t="s">
        <v>337</v>
      </c>
      <c r="C17" s="10" t="s">
        <v>106</v>
      </c>
      <c r="D17" s="10" t="s">
        <v>6</v>
      </c>
      <c r="E17" s="10" t="s">
        <v>335</v>
      </c>
      <c r="F17" s="10"/>
      <c r="G17" s="10" t="str">
        <f aca="false">INDEX('All Comments'!$P:$P,MATCH($A17,'All Comments'!$A:$A,0))</f>
        <v>To do</v>
      </c>
    </row>
    <row r="18" customFormat="false" ht="23.85" hidden="false" customHeight="false" outlineLevel="0" collapsed="false">
      <c r="A18" s="10" t="s">
        <v>195</v>
      </c>
      <c r="B18" s="10" t="s">
        <v>202</v>
      </c>
      <c r="C18" s="10" t="s">
        <v>106</v>
      </c>
      <c r="D18" s="10" t="s">
        <v>6</v>
      </c>
      <c r="E18" s="10" t="s">
        <v>199</v>
      </c>
      <c r="F18" s="10" t="s">
        <v>200</v>
      </c>
      <c r="G18" s="10" t="str">
        <f aca="false">INDEX('All Comments'!$P:$P,MATCH($A18,'All Comments'!$A:$A,0))</f>
        <v>To do</v>
      </c>
    </row>
    <row r="19" customFormat="false" ht="15" hidden="false" customHeight="false" outlineLevel="0" collapsed="false">
      <c r="A19" s="10" t="s">
        <v>200</v>
      </c>
      <c r="B19" s="10" t="s">
        <v>315</v>
      </c>
      <c r="C19" s="10" t="s">
        <v>106</v>
      </c>
      <c r="D19" s="10" t="s">
        <v>6</v>
      </c>
      <c r="E19" s="10" t="s">
        <v>313</v>
      </c>
      <c r="F19" s="10" t="s">
        <v>195</v>
      </c>
      <c r="G19" s="10" t="str">
        <f aca="false">INDEX('All Comments'!$P:$P,MATCH($A19,'All Comments'!$A:$A,0))</f>
        <v>To do</v>
      </c>
    </row>
    <row r="20" customFormat="false" ht="15" hidden="false" customHeight="false" outlineLevel="0" collapsed="false">
      <c r="A20" s="10" t="s">
        <v>274</v>
      </c>
      <c r="B20" s="10" t="s">
        <v>280</v>
      </c>
      <c r="C20" s="10" t="s">
        <v>106</v>
      </c>
      <c r="D20" s="10" t="s">
        <v>111</v>
      </c>
      <c r="E20" s="10" t="s">
        <v>278</v>
      </c>
      <c r="F20" s="10"/>
      <c r="G20" s="10" t="str">
        <f aca="false">INDEX('All Comments'!$P:$P,MATCH($A20,'All Comments'!$A:$A,0))</f>
        <v>To do</v>
      </c>
    </row>
    <row r="21" customFormat="false" ht="23.85" hidden="false" customHeight="false" outlineLevel="0" collapsed="false">
      <c r="A21" s="10" t="s">
        <v>354</v>
      </c>
      <c r="B21" s="10" t="s">
        <v>356</v>
      </c>
      <c r="C21" s="10" t="s">
        <v>106</v>
      </c>
      <c r="D21" s="10" t="s">
        <v>111</v>
      </c>
      <c r="E21" s="10" t="s">
        <v>359</v>
      </c>
      <c r="F21" s="10" t="s">
        <v>125</v>
      </c>
      <c r="G21" s="10" t="str">
        <f aca="false">INDEX('All Comments'!$P:$P,MATCH($A21,'All Comments'!$A:$A,0))</f>
        <v>To do</v>
      </c>
    </row>
    <row r="22" customFormat="false" ht="15" hidden="false" customHeight="false" outlineLevel="0" collapsed="false">
      <c r="A22" s="10" t="s">
        <v>369</v>
      </c>
      <c r="B22" s="10" t="s">
        <v>375</v>
      </c>
      <c r="C22" s="10" t="s">
        <v>106</v>
      </c>
      <c r="D22" s="10" t="s">
        <v>111</v>
      </c>
      <c r="E22" s="10" t="s">
        <v>374</v>
      </c>
      <c r="F22" s="10"/>
      <c r="G22" s="10" t="str">
        <f aca="false">INDEX('All Comments'!$P:$P,MATCH($A22,'All Comments'!$A:$A,0))</f>
        <v>To do</v>
      </c>
    </row>
    <row r="23" customFormat="false" ht="15" hidden="false" customHeight="false" outlineLevel="0" collapsed="false">
      <c r="A23" s="10" t="s">
        <v>162</v>
      </c>
      <c r="B23" s="10" t="s">
        <v>169</v>
      </c>
      <c r="C23" s="10" t="s">
        <v>96</v>
      </c>
      <c r="D23" s="10" t="s">
        <v>6</v>
      </c>
      <c r="E23" s="10" t="s">
        <v>167</v>
      </c>
      <c r="F23" s="10" t="s">
        <v>88</v>
      </c>
      <c r="G23" s="10" t="str">
        <f aca="false">INDEX('All Comments'!$P:$P,MATCH($A23,'All Comments'!$A:$A,0))</f>
        <v>To do</v>
      </c>
    </row>
    <row r="24" customFormat="false" ht="15" hidden="false" customHeight="false" outlineLevel="0" collapsed="false">
      <c r="A24" s="10" t="s">
        <v>215</v>
      </c>
      <c r="B24" s="10" t="s">
        <v>220</v>
      </c>
      <c r="C24" s="10" t="s">
        <v>96</v>
      </c>
      <c r="D24" s="10" t="s">
        <v>6</v>
      </c>
      <c r="E24" s="10" t="s">
        <v>219</v>
      </c>
      <c r="F24" s="10" t="s">
        <v>190</v>
      </c>
      <c r="G24" s="10" t="str">
        <f aca="false">INDEX('All Comments'!$P:$P,MATCH($A24,'All Comments'!$A:$A,0))</f>
        <v>To do</v>
      </c>
    </row>
    <row r="25" customFormat="false" ht="23.85" hidden="false" customHeight="false" outlineLevel="0" collapsed="false">
      <c r="A25" s="10" t="s">
        <v>170</v>
      </c>
      <c r="B25" s="10" t="s">
        <v>177</v>
      </c>
      <c r="C25" s="10" t="s">
        <v>96</v>
      </c>
      <c r="D25" s="10" t="s">
        <v>6</v>
      </c>
      <c r="E25" s="10" t="s">
        <v>174</v>
      </c>
      <c r="F25" s="10" t="s">
        <v>175</v>
      </c>
      <c r="G25" s="10" t="str">
        <f aca="false">INDEX('All Comments'!$P:$P,MATCH($A25,'All Comments'!$A:$A,0))</f>
        <v>To do</v>
      </c>
    </row>
    <row r="26" customFormat="false" ht="15" hidden="false" customHeight="false" outlineLevel="0" collapsed="false">
      <c r="A26" s="10" t="s">
        <v>141</v>
      </c>
      <c r="B26" s="10" t="s">
        <v>148</v>
      </c>
      <c r="C26" s="10" t="s">
        <v>96</v>
      </c>
      <c r="D26" s="10" t="s">
        <v>111</v>
      </c>
      <c r="E26" s="10" t="s">
        <v>146</v>
      </c>
      <c r="F26" s="10" t="s">
        <v>86</v>
      </c>
      <c r="G26" s="10" t="str">
        <f aca="false">INDEX('All Comments'!$P:$P,MATCH($A26,'All Comments'!$A:$A,0))</f>
        <v>To do</v>
      </c>
    </row>
    <row r="27" customFormat="false" ht="35.05" hidden="false" customHeight="false" outlineLevel="0" collapsed="false">
      <c r="A27" s="10" t="s">
        <v>88</v>
      </c>
      <c r="B27" s="10" t="s">
        <v>97</v>
      </c>
      <c r="C27" s="10" t="s">
        <v>96</v>
      </c>
      <c r="D27" s="10" t="s">
        <v>6</v>
      </c>
      <c r="E27" s="10" t="s">
        <v>93</v>
      </c>
      <c r="F27" s="10" t="s">
        <v>94</v>
      </c>
      <c r="G27" s="10" t="str">
        <f aca="false">INDEX('All Comments'!$P:$P,MATCH($A27,'All Comments'!$A:$A,0))</f>
        <v>To do</v>
      </c>
    </row>
  </sheetData>
  <autoFilter ref="A4:G27"/>
  <conditionalFormatting sqref="D5:D27">
    <cfRule type="expression" priority="2" aboveAverage="0" equalAverage="0" bottom="0" percent="0" rank="0" text="" dxfId="6">
      <formula>$D5="Major"</formula>
    </cfRule>
  </conditionalFormatting>
  <conditionalFormatting sqref="G5:G27">
    <cfRule type="expression" priority="3" aboveAverage="0" equalAverage="0" bottom="0" percent="0" rank="0" text="" dxfId="7">
      <formula>$G5="Done"</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4" min="3" style="0" width="24"/>
    <col collapsed="false" customWidth="true" hidden="false" outlineLevel="0" max="5" min="5" style="0" width="50"/>
  </cols>
  <sheetData>
    <row r="1" customFormat="false" ht="15" hidden="false" customHeight="false" outlineLevel="0" collapsed="false">
      <c r="A1" s="7" t="s">
        <v>384</v>
      </c>
      <c r="B1" s="7" t="s">
        <v>3</v>
      </c>
      <c r="C1" s="7" t="s">
        <v>4</v>
      </c>
      <c r="D1" s="7" t="s">
        <v>2</v>
      </c>
      <c r="E1" s="7" t="s">
        <v>385</v>
      </c>
    </row>
    <row r="2" customFormat="false" ht="23.85" hidden="false" customHeight="false" outlineLevel="0" collapsed="false">
      <c r="A2" s="10" t="s">
        <v>386</v>
      </c>
      <c r="B2" s="10" t="s">
        <v>88</v>
      </c>
      <c r="C2" s="10" t="s">
        <v>387</v>
      </c>
      <c r="D2" s="10" t="s">
        <v>15</v>
      </c>
      <c r="E2" s="10" t="s">
        <v>388</v>
      </c>
    </row>
    <row r="3" customFormat="false" ht="15" hidden="false" customHeight="false" outlineLevel="0" collapsed="false">
      <c r="A3" s="10" t="s">
        <v>389</v>
      </c>
      <c r="B3" s="10" t="s">
        <v>213</v>
      </c>
      <c r="C3" s="10" t="s">
        <v>86</v>
      </c>
      <c r="D3" s="10" t="s">
        <v>15</v>
      </c>
      <c r="E3" s="10" t="s">
        <v>390</v>
      </c>
    </row>
    <row r="4" customFormat="false" ht="15" hidden="false" customHeight="false" outlineLevel="0" collapsed="false">
      <c r="A4" s="10" t="s">
        <v>391</v>
      </c>
      <c r="B4" s="10" t="s">
        <v>70</v>
      </c>
      <c r="C4" s="10" t="s">
        <v>392</v>
      </c>
      <c r="D4" s="10" t="s">
        <v>393</v>
      </c>
      <c r="E4" s="10" t="s">
        <v>394</v>
      </c>
    </row>
    <row r="5" customFormat="false" ht="23.85" hidden="false" customHeight="false" outlineLevel="0" collapsed="false">
      <c r="A5" s="10" t="s">
        <v>395</v>
      </c>
      <c r="B5" s="10" t="s">
        <v>320</v>
      </c>
      <c r="C5" s="10" t="s">
        <v>104</v>
      </c>
      <c r="D5" s="10" t="s">
        <v>16</v>
      </c>
      <c r="E5" s="10" t="s">
        <v>396</v>
      </c>
    </row>
    <row r="6" customFormat="false" ht="15" hidden="false" customHeight="false" outlineLevel="0" collapsed="false">
      <c r="A6" s="10" t="s">
        <v>397</v>
      </c>
      <c r="B6" s="10" t="s">
        <v>108</v>
      </c>
      <c r="C6" s="10" t="s">
        <v>115</v>
      </c>
      <c r="D6" s="10" t="s">
        <v>12</v>
      </c>
      <c r="E6" s="10" t="s">
        <v>398</v>
      </c>
    </row>
    <row r="7" customFormat="false" ht="15" hidden="false" customHeight="false" outlineLevel="0" collapsed="false">
      <c r="A7" s="10" t="s">
        <v>399</v>
      </c>
      <c r="B7" s="10" t="s">
        <v>149</v>
      </c>
      <c r="C7" s="10" t="s">
        <v>400</v>
      </c>
      <c r="D7" s="10" t="s">
        <v>9</v>
      </c>
      <c r="E7" s="10" t="s">
        <v>401</v>
      </c>
    </row>
    <row r="8" customFormat="false" ht="15" hidden="false" customHeight="false" outlineLevel="0" collapsed="false">
      <c r="A8" s="10" t="s">
        <v>402</v>
      </c>
      <c r="B8" s="10" t="s">
        <v>133</v>
      </c>
      <c r="C8" s="10" t="s">
        <v>139</v>
      </c>
      <c r="D8" s="10" t="s">
        <v>13</v>
      </c>
      <c r="E8" s="10" t="s">
        <v>403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2026-09-19T14:46:42Z</dcterms:created>
  <dc:creator>openpyxl</dc:creator>
  <dc:description/>
  <dc:language>en-US</dc:language>
  <cp:lastModifiedBy/>
  <dcterms:modified xsi:type="dcterms:W3CDTF">2026-09-19T14:46:42Z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